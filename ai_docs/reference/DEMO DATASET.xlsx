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DA_Tracker" sheetId="1" r:id="rId4"/>
    <sheet state="visible" name="target_universe.csv" sheetId="2" r:id="rId5"/>
    <sheet state="visible" name="deal_sourcing" sheetId="3" r:id="rId6"/>
    <sheet state="visible" name="HISTORY" sheetId="4" r:id="rId7"/>
    <sheet state="visible" name="Target_Financials_Summary.csv" sheetId="5" r:id="rId8"/>
    <sheet state="visible" name="PRE_DD" sheetId="6" r:id="rId9"/>
    <sheet state="visible" name="lbo_model_inputs" sheetId="7" r:id="rId10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88"/>
    <col customWidth="1" min="10" max="10" width="21.38"/>
  </cols>
  <sheetData>
    <row r="1">
      <c r="A1" s="1" t="str">
        <f>"Deal_ID"</f>
        <v>Deal_ID</v>
      </c>
      <c r="B1" s="1" t="str">
        <f>"Company_Name"</f>
        <v>Company_Name</v>
      </c>
      <c r="C1" s="1" t="str">
        <f>"NDA_Status"</f>
        <v>NDA_Status</v>
      </c>
      <c r="D1" s="1" t="str">
        <f>"Date_Sent"</f>
        <v>Date_Sent</v>
      </c>
      <c r="E1" s="1" t="str">
        <f>"Date_Executed"</f>
        <v>Date_Executed</v>
      </c>
      <c r="F1" s="1" t="str">
        <f>"Expiration_Date"</f>
        <v>Expiration_Date</v>
      </c>
      <c r="G1" s="1" t="str">
        <f>"Primary_Contact"</f>
        <v>Primary_Contact</v>
      </c>
      <c r="H1" s="1" t="str">
        <f>"Contact_Email"</f>
        <v>Contact_Email</v>
      </c>
      <c r="I1" s="1" t="str">
        <f>"Owner"</f>
        <v>Owner</v>
      </c>
    </row>
    <row r="2">
      <c r="A2" s="1" t="str">
        <f>"WRC-2025-001"</f>
        <v>WRC-2025-001</v>
      </c>
      <c r="B2" s="1" t="str">
        <f>"UrbanRetail Partners"</f>
        <v>UrbanRetail Partners</v>
      </c>
      <c r="C2" s="1" t="str">
        <f t="shared" ref="C2:C9" si="1">"Executed"</f>
        <v>Executed</v>
      </c>
      <c r="D2" s="1" t="str">
        <f>"2025-03-18"</f>
        <v>2025-03-18</v>
      </c>
      <c r="E2" s="1" t="str">
        <f>"2025-03-25"</f>
        <v>2025-03-25</v>
      </c>
      <c r="F2" s="1" t="str">
        <f>"2027-03-25"</f>
        <v>2027-03-25</v>
      </c>
      <c r="G2" s="1" t="str">
        <f>"James Wilson"</f>
        <v>James Wilson</v>
      </c>
      <c r="H2" s="1" t="str">
        <f>"jwilson@urbanretail.com"</f>
        <v>jwilson@urbanretail.com</v>
      </c>
      <c r="I2" s="1" t="str">
        <f>"Alex Thompson"</f>
        <v>Alex Thompson</v>
      </c>
    </row>
    <row r="3">
      <c r="A3" s="1" t="str">
        <f>"WRC-2025-002"</f>
        <v>WRC-2025-002</v>
      </c>
      <c r="B3" s="1" t="str">
        <f>"Luminance Home Goods"</f>
        <v>Luminance Home Goods</v>
      </c>
      <c r="C3" s="1" t="str">
        <f t="shared" si="1"/>
        <v>Executed</v>
      </c>
      <c r="D3" s="1" t="str">
        <f>"2025-02-15"</f>
        <v>2025-02-15</v>
      </c>
      <c r="E3" s="1" t="str">
        <f>"2025-02-22"</f>
        <v>2025-02-22</v>
      </c>
      <c r="F3" s="1" t="str">
        <f>"2027-02-22"</f>
        <v>2027-02-22</v>
      </c>
      <c r="G3" s="1" t="str">
        <f>"Sarah Johnson"</f>
        <v>Sarah Johnson</v>
      </c>
      <c r="H3" s="1" t="str">
        <f>"sjohnson@luminancehome.com"</f>
        <v>sjohnson@luminancehome.com</v>
      </c>
      <c r="I3" s="1" t="str">
        <f>"Jennifer Davis"</f>
        <v>Jennifer Davis</v>
      </c>
    </row>
    <row r="4">
      <c r="A4" s="1" t="str">
        <f>"WRC-2025-003"</f>
        <v>WRC-2025-003</v>
      </c>
      <c r="B4" s="1" t="str">
        <f>"Fresh Horizon Foods"</f>
        <v>Fresh Horizon Foods</v>
      </c>
      <c r="C4" s="1" t="str">
        <f t="shared" si="1"/>
        <v>Executed</v>
      </c>
      <c r="D4" s="1" t="str">
        <f>"2025-02-05"</f>
        <v>2025-02-05</v>
      </c>
      <c r="E4" s="1" t="str">
        <f>"2025-02-10"</f>
        <v>2025-02-10</v>
      </c>
      <c r="F4" s="1" t="str">
        <f>"2027-02-10"</f>
        <v>2027-02-10</v>
      </c>
      <c r="G4" s="1" t="str">
        <f>"Michael Chen"</f>
        <v>Michael Chen</v>
      </c>
      <c r="H4" s="1" t="str">
        <f>"mchen@freshhorizon.com"</f>
        <v>mchen@freshhorizon.com</v>
      </c>
      <c r="I4" s="1" t="str">
        <f>"Alex Thompson"</f>
        <v>Alex Thompson</v>
      </c>
    </row>
    <row r="5">
      <c r="A5" s="1" t="str">
        <f>"WRC-2025-005"</f>
        <v>WRC-2025-005</v>
      </c>
      <c r="B5" s="1" t="str">
        <f>"TechGadget World"</f>
        <v>TechGadget World</v>
      </c>
      <c r="C5" s="1" t="str">
        <f t="shared" si="1"/>
        <v>Executed</v>
      </c>
      <c r="D5" s="1" t="str">
        <f>"2025-04-12"</f>
        <v>2025-04-12</v>
      </c>
      <c r="E5" s="1" t="str">
        <f>"2025-04-18"</f>
        <v>2025-04-18</v>
      </c>
      <c r="F5" s="1" t="str">
        <f>"2027-04-18"</f>
        <v>2027-04-18</v>
      </c>
      <c r="G5" s="1" t="str">
        <f>"Lisa Park"</f>
        <v>Lisa Park</v>
      </c>
      <c r="H5" s="1" t="str">
        <f>"lpark@techgadgetworld.com"</f>
        <v>lpark@techgadgetworld.com</v>
      </c>
      <c r="I5" s="1" t="str">
        <f t="shared" ref="I5:I7" si="2">"Michael Rodriguez"</f>
        <v>Michael Rodriguez</v>
      </c>
    </row>
    <row r="6">
      <c r="A6" s="1" t="str">
        <f>"WRC-2025-006"</f>
        <v>WRC-2025-006</v>
      </c>
      <c r="B6" s="1" t="str">
        <f>"Coastal Outfitters"</f>
        <v>Coastal Outfitters</v>
      </c>
      <c r="C6" s="1" t="str">
        <f t="shared" si="1"/>
        <v>Executed</v>
      </c>
      <c r="D6" s="1" t="str">
        <f>"2025-03-15"</f>
        <v>2025-03-15</v>
      </c>
      <c r="E6" s="1" t="str">
        <f>"2025-03-21"</f>
        <v>2025-03-21</v>
      </c>
      <c r="F6" s="1" t="str">
        <f>"2027-03-21"</f>
        <v>2027-03-21</v>
      </c>
      <c r="G6" s="1" t="str">
        <f>"David Miller"</f>
        <v>David Miller</v>
      </c>
      <c r="H6" s="1" t="str">
        <f>"dmiller@coastaloutfitters.com"</f>
        <v>dmiller@coastaloutfitters.com</v>
      </c>
      <c r="I6" s="1" t="str">
        <f t="shared" si="2"/>
        <v>Michael Rodriguez</v>
      </c>
    </row>
    <row r="7">
      <c r="A7" s="1" t="str">
        <f>"WRC-2025-009"</f>
        <v>WRC-2025-009</v>
      </c>
      <c r="B7" s="1" t="str">
        <f>"Culinary Essentials"</f>
        <v>Culinary Essentials</v>
      </c>
      <c r="C7" s="1" t="str">
        <f t="shared" si="1"/>
        <v>Executed</v>
      </c>
      <c r="D7" s="1" t="str">
        <f>"2025-04-01"</f>
        <v>2025-04-01</v>
      </c>
      <c r="E7" s="1" t="str">
        <f>"2025-04-08"</f>
        <v>2025-04-08</v>
      </c>
      <c r="F7" s="1" t="str">
        <f>"2027-04-08"</f>
        <v>2027-04-08</v>
      </c>
      <c r="G7" s="1" t="str">
        <f>"Andrew Kim"</f>
        <v>Andrew Kim</v>
      </c>
      <c r="H7" s="1" t="str">
        <f>"akim@culinaryessentials.com"</f>
        <v>akim@culinaryessentials.com</v>
      </c>
      <c r="I7" s="1" t="str">
        <f t="shared" si="2"/>
        <v>Michael Rodriguez</v>
      </c>
    </row>
    <row r="8">
      <c r="A8" s="1" t="str">
        <f>"WRC-2025-014"</f>
        <v>WRC-2025-014</v>
      </c>
      <c r="B8" s="1" t="str">
        <f>"Elite Footwear"</f>
        <v>Elite Footwear</v>
      </c>
      <c r="C8" s="1" t="str">
        <f t="shared" si="1"/>
        <v>Executed</v>
      </c>
      <c r="D8" s="1" t="str">
        <f>"2025-04-10"</f>
        <v>2025-04-10</v>
      </c>
      <c r="E8" s="1" t="str">
        <f>"2025-04-19"</f>
        <v>2025-04-19</v>
      </c>
      <c r="F8" s="1" t="str">
        <f>"2027-04-19"</f>
        <v>2027-04-19</v>
      </c>
      <c r="G8" s="1" t="str">
        <f>"Carlos Rodriguez"</f>
        <v>Carlos Rodriguez</v>
      </c>
      <c r="H8" s="1" t="str">
        <f>"crodriguez@elitefootwear.com"</f>
        <v>crodriguez@elitefootwear.com</v>
      </c>
      <c r="I8" s="1" t="str">
        <f>"Alex Thompson"</f>
        <v>Alex Thompson</v>
      </c>
    </row>
    <row r="9">
      <c r="A9" s="1" t="str">
        <f>"WRC-2025-019"</f>
        <v>WRC-2025-019</v>
      </c>
      <c r="B9" s="1" t="str">
        <f>"LuxeDecor Interiors"</f>
        <v>LuxeDecor Interiors</v>
      </c>
      <c r="C9" s="1" t="str">
        <f t="shared" si="1"/>
        <v>Executed</v>
      </c>
      <c r="D9" s="1" t="str">
        <f>"2025-04-18"</f>
        <v>2025-04-18</v>
      </c>
      <c r="E9" s="1" t="str">
        <f>"2025-04-24"</f>
        <v>2025-04-24</v>
      </c>
      <c r="F9" s="1" t="str">
        <f>"2027-04-24"</f>
        <v>2027-04-24</v>
      </c>
      <c r="G9" s="1" t="str">
        <f>"Amanda Chen"</f>
        <v>Amanda Chen</v>
      </c>
      <c r="H9" s="1" t="str">
        <f>"achen@luxedecor.com"</f>
        <v>achen@luxedecor.com</v>
      </c>
      <c r="I9" s="1" t="str">
        <f>"Jennifer Davis"</f>
        <v>Jennifer Davis</v>
      </c>
    </row>
    <row r="10">
      <c r="A10" s="1" t="str">
        <f>"WRC-2025-008"</f>
        <v>WRC-2025-008</v>
      </c>
      <c r="B10" s="1" t="str">
        <f>"StyleNow Apparel"</f>
        <v>StyleNow Apparel</v>
      </c>
      <c r="C10" s="1" t="str">
        <f t="shared" ref="C10:C14" si="3">"In Negotiation"</f>
        <v>In Negotiation</v>
      </c>
      <c r="D10" s="1" t="str">
        <f>"2025-04-05"</f>
        <v>2025-04-05</v>
      </c>
      <c r="E10" s="1" t="str">
        <f t="shared" ref="E10:E20" si="4">"Pending"</f>
        <v>Pending</v>
      </c>
      <c r="F10" s="1" t="str">
        <f t="shared" ref="F10:F20" si="5">"N/A"</f>
        <v>N/A</v>
      </c>
      <c r="G10" s="1" t="str">
        <f>"Jennifer Lopez"</f>
        <v>Jennifer Lopez</v>
      </c>
      <c r="H10" s="1" t="str">
        <f>"jlopez@stylenowapparel.com"</f>
        <v>jlopez@stylenowapparel.com</v>
      </c>
      <c r="I10" s="1" t="str">
        <f t="shared" ref="I10:I11" si="6">"Alex Thompson"</f>
        <v>Alex Thompson</v>
      </c>
    </row>
    <row r="11">
      <c r="A11" s="1" t="str">
        <f>"WRC-2025-011"</f>
        <v>WRC-2025-011</v>
      </c>
      <c r="B11" s="1" t="str">
        <f>"Wellness Direct"</f>
        <v>Wellness Direct</v>
      </c>
      <c r="C11" s="1" t="str">
        <f t="shared" si="3"/>
        <v>In Negotiation</v>
      </c>
      <c r="D11" s="1" t="str">
        <f>"2025-04-15"</f>
        <v>2025-04-15</v>
      </c>
      <c r="E11" s="1" t="str">
        <f t="shared" si="4"/>
        <v>Pending</v>
      </c>
      <c r="F11" s="1" t="str">
        <f t="shared" si="5"/>
        <v>N/A</v>
      </c>
      <c r="G11" s="1" t="str">
        <f>"Sophia Martinez"</f>
        <v>Sophia Martinez</v>
      </c>
      <c r="H11" s="1" t="str">
        <f>"smartinez@wellnessdirect.com"</f>
        <v>smartinez@wellnessdirect.com</v>
      </c>
      <c r="I11" s="1" t="str">
        <f t="shared" si="6"/>
        <v>Alex Thompson</v>
      </c>
    </row>
    <row r="12">
      <c r="A12" s="1" t="str">
        <f>"WRC-2025-013"</f>
        <v>WRC-2025-013</v>
      </c>
      <c r="B12" s="1" t="str">
        <f>"Modern Home Solutions"</f>
        <v>Modern Home Solutions</v>
      </c>
      <c r="C12" s="1" t="str">
        <f t="shared" si="3"/>
        <v>In Negotiation</v>
      </c>
      <c r="D12" s="1" t="str">
        <f>"2025-04-20"</f>
        <v>2025-04-20</v>
      </c>
      <c r="E12" s="1" t="str">
        <f t="shared" si="4"/>
        <v>Pending</v>
      </c>
      <c r="F12" s="1" t="str">
        <f t="shared" si="5"/>
        <v>N/A</v>
      </c>
      <c r="G12" s="1" t="str">
        <f>"Richard Adams"</f>
        <v>Richard Adams</v>
      </c>
      <c r="H12" s="1" t="str">
        <f>"radams@modernhome.com"</f>
        <v>radams@modernhome.com</v>
      </c>
      <c r="I12" s="1" t="str">
        <f>"Jennifer Davis"</f>
        <v>Jennifer Davis</v>
      </c>
    </row>
    <row r="13">
      <c r="A13" s="1" t="str">
        <f>"WRC-2025-017"</f>
        <v>WRC-2025-017</v>
      </c>
      <c r="B13" s="1" t="str">
        <f>"OutdoorLife Direct"</f>
        <v>OutdoorLife Direct</v>
      </c>
      <c r="C13" s="1" t="str">
        <f t="shared" si="3"/>
        <v>In Negotiation</v>
      </c>
      <c r="D13" s="1" t="str">
        <f>"2025-04-12"</f>
        <v>2025-04-12</v>
      </c>
      <c r="E13" s="1" t="str">
        <f t="shared" si="4"/>
        <v>Pending</v>
      </c>
      <c r="F13" s="1" t="str">
        <f t="shared" si="5"/>
        <v>N/A</v>
      </c>
      <c r="G13" s="1" t="str">
        <f>"Nicole Carter"</f>
        <v>Nicole Carter</v>
      </c>
      <c r="H13" s="1" t="str">
        <f>"ncarter@outdoorlife.com"</f>
        <v>ncarter@outdoorlife.com</v>
      </c>
      <c r="I13" s="1" t="str">
        <f t="shared" ref="I13:I14" si="7">"Alex Thompson"</f>
        <v>Alex Thompson</v>
      </c>
    </row>
    <row r="14">
      <c r="A14" s="1" t="str">
        <f>"WRC-2025-020"</f>
        <v>WRC-2025-020</v>
      </c>
      <c r="B14" s="1" t="str">
        <f>"FitLife Equipment"</f>
        <v>FitLife Equipment</v>
      </c>
      <c r="C14" s="1" t="str">
        <f t="shared" si="3"/>
        <v>In Negotiation</v>
      </c>
      <c r="D14" s="1" t="str">
        <f>"2025-04-22"</f>
        <v>2025-04-22</v>
      </c>
      <c r="E14" s="1" t="str">
        <f t="shared" si="4"/>
        <v>Pending</v>
      </c>
      <c r="F14" s="1" t="str">
        <f t="shared" si="5"/>
        <v>N/A</v>
      </c>
      <c r="G14" s="1" t="str">
        <f>"Mark Johnson"</f>
        <v>Mark Johnson</v>
      </c>
      <c r="H14" s="1" t="str">
        <f>"mjohnson@fitlife.com"</f>
        <v>mjohnson@fitlife.com</v>
      </c>
      <c r="I14" s="1" t="str">
        <f t="shared" si="7"/>
        <v>Alex Thompson</v>
      </c>
    </row>
    <row r="15">
      <c r="A15" s="1" t="str">
        <f>"WRC-2025-007"</f>
        <v>WRC-2025-007</v>
      </c>
      <c r="B15" s="1" t="str">
        <f>"Heritage Furniture Co."</f>
        <v>Heritage Furniture Co.</v>
      </c>
      <c r="C15" s="1" t="str">
        <f t="shared" ref="C15:C20" si="8">"Draft Sent"</f>
        <v>Draft Sent</v>
      </c>
      <c r="D15" s="1" t="str">
        <f>"2025-04-08"</f>
        <v>2025-04-08</v>
      </c>
      <c r="E15" s="1" t="str">
        <f t="shared" si="4"/>
        <v>Pending</v>
      </c>
      <c r="F15" s="1" t="str">
        <f t="shared" si="5"/>
        <v>N/A</v>
      </c>
      <c r="G15" s="1" t="str">
        <f>"Thomas Wright"</f>
        <v>Thomas Wright</v>
      </c>
      <c r="H15" s="1" t="str">
        <f>"twright@heritagefurniture.com"</f>
        <v>twright@heritagefurniture.com</v>
      </c>
      <c r="I15" s="1" t="str">
        <f t="shared" ref="I15:I16" si="9">"Jennifer Davis"</f>
        <v>Jennifer Davis</v>
      </c>
    </row>
    <row r="16">
      <c r="A16" s="1" t="str">
        <f>"WRC-2025-010"</f>
        <v>WRC-2025-010</v>
      </c>
      <c r="B16" s="1" t="str">
        <f>"Kidz Corner"</f>
        <v>Kidz Corner</v>
      </c>
      <c r="C16" s="1" t="str">
        <f t="shared" si="8"/>
        <v>Draft Sent</v>
      </c>
      <c r="D16" s="1" t="str">
        <f>"2025-04-15"</f>
        <v>2025-04-15</v>
      </c>
      <c r="E16" s="1" t="str">
        <f t="shared" si="4"/>
        <v>Pending</v>
      </c>
      <c r="F16" s="1" t="str">
        <f t="shared" si="5"/>
        <v>N/A</v>
      </c>
      <c r="G16" s="1" t="str">
        <f>"Rebecca Johnson"</f>
        <v>Rebecca Johnson</v>
      </c>
      <c r="H16" s="1" t="str">
        <f>"rjohnson@kidzcorner.com"</f>
        <v>rjohnson@kidzcorner.com</v>
      </c>
      <c r="I16" s="1" t="str">
        <f t="shared" si="9"/>
        <v>Jennifer Davis</v>
      </c>
    </row>
    <row r="17">
      <c r="A17" s="1" t="str">
        <f>"WRC-2025-012"</f>
        <v>WRC-2025-012</v>
      </c>
      <c r="B17" s="1" t="str">
        <f>"Countryside Pets"</f>
        <v>Countryside Pets</v>
      </c>
      <c r="C17" s="1" t="str">
        <f t="shared" si="8"/>
        <v>Draft Sent</v>
      </c>
      <c r="D17" s="1" t="str">
        <f>"2025-04-20"</f>
        <v>2025-04-20</v>
      </c>
      <c r="E17" s="1" t="str">
        <f t="shared" si="4"/>
        <v>Pending</v>
      </c>
      <c r="F17" s="1" t="str">
        <f t="shared" si="5"/>
        <v>N/A</v>
      </c>
      <c r="G17" s="1" t="str">
        <f>"Brian Taylor"</f>
        <v>Brian Taylor</v>
      </c>
      <c r="H17" s="1" t="str">
        <f>"btaylor@countrysidepets.com"</f>
        <v>btaylor@countrysidepets.com</v>
      </c>
      <c r="I17" s="1" t="str">
        <f t="shared" ref="I17:I18" si="10">"Michael Rodriguez"</f>
        <v>Michael Rodriguez</v>
      </c>
    </row>
    <row r="18">
      <c r="A18" s="1" t="str">
        <f>"WRC-2025-015"</f>
        <v>WRC-2025-015</v>
      </c>
      <c r="B18" s="1" t="str">
        <f>"Gourmet Market"</f>
        <v>Gourmet Market</v>
      </c>
      <c r="C18" s="1" t="str">
        <f t="shared" si="8"/>
        <v>Draft Sent</v>
      </c>
      <c r="D18" s="1" t="str">
        <f>"2025-04-22"</f>
        <v>2025-04-22</v>
      </c>
      <c r="E18" s="1" t="str">
        <f t="shared" si="4"/>
        <v>Pending</v>
      </c>
      <c r="F18" s="1" t="str">
        <f t="shared" si="5"/>
        <v>N/A</v>
      </c>
      <c r="G18" s="1" t="str">
        <f>"Elizabeth Wong"</f>
        <v>Elizabeth Wong</v>
      </c>
      <c r="H18" s="1" t="str">
        <f>"ewong@gourmetmarket.com"</f>
        <v>ewong@gourmetmarket.com</v>
      </c>
      <c r="I18" s="1" t="str">
        <f t="shared" si="10"/>
        <v>Michael Rodriguez</v>
      </c>
    </row>
    <row r="19">
      <c r="A19" s="1" t="str">
        <f>"WRC-2025-016"</f>
        <v>WRC-2025-016</v>
      </c>
      <c r="B19" s="1" t="str">
        <f>"BookHaven Plus"</f>
        <v>BookHaven Plus</v>
      </c>
      <c r="C19" s="1" t="str">
        <f t="shared" si="8"/>
        <v>Draft Sent</v>
      </c>
      <c r="D19" s="1" t="str">
        <f>"2025-04-25"</f>
        <v>2025-04-25</v>
      </c>
      <c r="E19" s="1" t="str">
        <f t="shared" si="4"/>
        <v>Pending</v>
      </c>
      <c r="F19" s="1" t="str">
        <f t="shared" si="5"/>
        <v>N/A</v>
      </c>
      <c r="G19" s="1" t="str">
        <f>"Daniel Brown"</f>
        <v>Daniel Brown</v>
      </c>
      <c r="H19" s="1" t="str">
        <f>"dbrown@bookhaven.com"</f>
        <v>dbrown@bookhaven.com</v>
      </c>
      <c r="I19" s="1" t="str">
        <f>"Jennifer Davis"</f>
        <v>Jennifer Davis</v>
      </c>
    </row>
    <row r="20">
      <c r="A20" s="1" t="str">
        <f>"WRC-2025-018"</f>
        <v>WRC-2025-018</v>
      </c>
      <c r="B20" s="1" t="str">
        <f>"ValueMart Retail"</f>
        <v>ValueMart Retail</v>
      </c>
      <c r="C20" s="1" t="str">
        <f t="shared" si="8"/>
        <v>Draft Sent</v>
      </c>
      <c r="D20" s="1" t="str">
        <f>"2025-04-22"</f>
        <v>2025-04-22</v>
      </c>
      <c r="E20" s="1" t="str">
        <f t="shared" si="4"/>
        <v>Pending</v>
      </c>
      <c r="F20" s="1" t="str">
        <f t="shared" si="5"/>
        <v>N/A</v>
      </c>
      <c r="G20" s="1" t="str">
        <f>"Jeffrey Williams"</f>
        <v>Jeffrey Williams</v>
      </c>
      <c r="H20" s="1" t="str">
        <f>"jwilliams@valuemart.com"</f>
        <v>jwilliams@valuemart.com</v>
      </c>
      <c r="I20" s="1" t="str">
        <f>"Michael Rodriguez"</f>
        <v>Michael Rodriguez</v>
      </c>
    </row>
    <row r="21">
      <c r="A21" s="1" t="str">
        <f>"WRC-2025-004"</f>
        <v>WRC-2025-004</v>
      </c>
      <c r="B21" s="1" t="str">
        <f>"Athletic Avenue"</f>
        <v>Athletic Avenue</v>
      </c>
      <c r="C21" s="1" t="str">
        <f>"Declined"</f>
        <v>Declined</v>
      </c>
      <c r="D21" s="1" t="str">
        <f>"2025-03-02"</f>
        <v>2025-03-02</v>
      </c>
      <c r="E21" s="1" t="str">
        <f t="shared" ref="E21:F21" si="11">"N/A"</f>
        <v>N/A</v>
      </c>
      <c r="F21" s="1" t="str">
        <f t="shared" si="11"/>
        <v>N/A</v>
      </c>
      <c r="G21" s="1" t="str">
        <f>"Robert Garcia"</f>
        <v>Robert Garcia</v>
      </c>
      <c r="H21" s="1" t="str">
        <f>"rgarcia@athleticavenue.com"</f>
        <v>rgarcia@athleticavenue.com</v>
      </c>
      <c r="I21" s="1" t="str">
        <f>"Jennifer Davis"</f>
        <v>Jennifer Davis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" t="str">
        <f>"Company_Name"</f>
        <v>Company_Name</v>
      </c>
      <c r="B1" s="1" t="str">
        <f>"Sector"</f>
        <v>Sector</v>
      </c>
      <c r="C1" s="1" t="str">
        <f>"Sub_Sector"</f>
        <v>Sub_Sector</v>
      </c>
      <c r="D1" s="1" t="str">
        <f>"Revenue_LTM_MM"</f>
        <v>Revenue_LTM_MM</v>
      </c>
      <c r="E1" s="1" t="str">
        <f>"EBITDA_LTM_MM"</f>
        <v>EBITDA_LTM_MM</v>
      </c>
      <c r="F1" s="1" t="str">
        <f>"EBITDA_Margin"</f>
        <v>EBITDA_Margin</v>
      </c>
      <c r="G1" s="1" t="str">
        <f>"Revenue_CAGR_3YR"</f>
        <v>Revenue_CAGR_3YR</v>
      </c>
      <c r="H1" s="1" t="str">
        <f>"Headquarters"</f>
        <v>Headquarters</v>
      </c>
      <c r="I1" s="1" t="str">
        <f>"Ownership_Type"</f>
        <v>Ownership_Type</v>
      </c>
      <c r="J1" s="1" t="str">
        <f>"Est_Enterprise_Value_MM"</f>
        <v>Est_Enterprise_Value_MM</v>
      </c>
      <c r="K1" s="1" t="str">
        <f>"EV_EBITDA_Multiple"</f>
        <v>EV_EBITDA_Multiple</v>
      </c>
      <c r="L1" s="1" t="str">
        <f>"Year_Founded"</f>
        <v>Year_Founded</v>
      </c>
      <c r="M1" s="1" t="str">
        <f>"Number_of_Locations"</f>
        <v>Number_of_Locations</v>
      </c>
      <c r="N1" s="1" t="str">
        <f>"Primary_Contact"</f>
        <v>Primary_Contact</v>
      </c>
      <c r="O1" s="1" t="str">
        <f>"Contact_Email"</f>
        <v>Contact_Email</v>
      </c>
      <c r="P1" s="1" t="str">
        <f>"Notes"</f>
        <v>Notes</v>
      </c>
    </row>
    <row r="2">
      <c r="A2" s="1" t="str">
        <f>"UrbanRetail Partners"</f>
        <v>UrbanRetail Partners</v>
      </c>
      <c r="B2" s="1" t="str">
        <f t="shared" ref="B2:B21" si="1">"Retail"</f>
        <v>Retail</v>
      </c>
      <c r="C2" s="1" t="str">
        <f>"Specialty Apparel"</f>
        <v>Specialty Apparel</v>
      </c>
      <c r="D2" s="1" t="str">
        <f>"$42.8"</f>
        <v>$42.8</v>
      </c>
      <c r="E2" s="1" t="str">
        <f>"$7.1"</f>
        <v>$7.1</v>
      </c>
      <c r="F2" s="1" t="str">
        <f>"16.5%"</f>
        <v>16.5%</v>
      </c>
      <c r="G2" s="1" t="str">
        <f>"8.3%"</f>
        <v>8.3%</v>
      </c>
      <c r="H2" s="1" t="str">
        <f>"Portland, OR"</f>
        <v>Portland, OR</v>
      </c>
      <c r="I2" s="1" t="str">
        <f>"Founder-Owned"</f>
        <v>Founder-Owned</v>
      </c>
      <c r="J2" s="1" t="str">
        <f>"$49.7"</f>
        <v>$49.7</v>
      </c>
      <c r="K2" s="1" t="str">
        <f>"7.0x"</f>
        <v>7.0x</v>
      </c>
      <c r="L2" s="1" t="str">
        <f>"2005"</f>
        <v>2005</v>
      </c>
      <c r="M2" s="1" t="str">
        <f>"23"</f>
        <v>23</v>
      </c>
      <c r="N2" s="1" t="str">
        <f>"James Wilson"</f>
        <v>James Wilson</v>
      </c>
      <c r="O2" s="1" t="str">
        <f>"jwilson@urbanretail.com"</f>
        <v>jwilson@urbanretail.com</v>
      </c>
      <c r="P2" s="1" t="str">
        <f>"Strong DTC channel, expanding geographic footprint"</f>
        <v>Strong DTC channel, expanding geographic footprint</v>
      </c>
    </row>
    <row r="3">
      <c r="A3" s="1" t="str">
        <f>"Luminance Home Goods"</f>
        <v>Luminance Home Goods</v>
      </c>
      <c r="B3" s="1" t="str">
        <f t="shared" si="1"/>
        <v>Retail</v>
      </c>
      <c r="C3" s="1" t="str">
        <f>"Home Furnishings"</f>
        <v>Home Furnishings</v>
      </c>
      <c r="D3" s="1" t="str">
        <f>"$76.3"</f>
        <v>$76.3</v>
      </c>
      <c r="E3" s="1" t="str">
        <f>"$13.5"</f>
        <v>$13.5</v>
      </c>
      <c r="F3" s="1" t="str">
        <f>"17.7%"</f>
        <v>17.7%</v>
      </c>
      <c r="G3" s="1" t="str">
        <f>"12.1%"</f>
        <v>12.1%</v>
      </c>
      <c r="H3" s="1" t="str">
        <f>"Chicago, IL"</f>
        <v>Chicago, IL</v>
      </c>
      <c r="I3" s="1" t="str">
        <f>"Private Equity (Fund I)"</f>
        <v>Private Equity (Fund I)</v>
      </c>
      <c r="J3" s="1" t="str">
        <f>"$108.5"</f>
        <v>$108.5</v>
      </c>
      <c r="K3" s="1" t="str">
        <f>"8.0x"</f>
        <v>8.0x</v>
      </c>
      <c r="L3" s="1" t="str">
        <f>"1998"</f>
        <v>1998</v>
      </c>
      <c r="M3" s="1" t="str">
        <f>"42"</f>
        <v>42</v>
      </c>
      <c r="N3" s="1" t="str">
        <f>"Sarah Johnson"</f>
        <v>Sarah Johnson</v>
      </c>
      <c r="O3" s="1" t="str">
        <f>"sjohnson@luminancehome.com"</f>
        <v>sjohnson@luminancehome.com</v>
      </c>
      <c r="P3" s="1" t="str">
        <f>"Recent e-commerce replatforming, potential add-on for HomeStyle"</f>
        <v>Recent e-commerce replatforming, potential add-on for HomeStyle</v>
      </c>
    </row>
    <row r="4">
      <c r="A4" s="1" t="str">
        <f>"Fresh Horizon Foods"</f>
        <v>Fresh Horizon Foods</v>
      </c>
      <c r="B4" s="1" t="str">
        <f t="shared" si="1"/>
        <v>Retail</v>
      </c>
      <c r="C4" s="1" t="str">
        <f>"Specialty Grocery"</f>
        <v>Specialty Grocery</v>
      </c>
      <c r="D4" s="1" t="str">
        <f>"$91.2"</f>
        <v>$91.2</v>
      </c>
      <c r="E4" s="1" t="str">
        <f>"$12.7"</f>
        <v>$12.7</v>
      </c>
      <c r="F4" s="1" t="str">
        <f>"13.9%"</f>
        <v>13.9%</v>
      </c>
      <c r="G4" s="1" t="str">
        <f>"9.7%"</f>
        <v>9.7%</v>
      </c>
      <c r="H4" s="1" t="str">
        <f>"Austin, TX"</f>
        <v>Austin, TX</v>
      </c>
      <c r="I4" s="1" t="str">
        <f>"Founder-Owned"</f>
        <v>Founder-Owned</v>
      </c>
      <c r="J4" s="1" t="str">
        <f>"$82.4"</f>
        <v>$82.4</v>
      </c>
      <c r="K4" s="1" t="str">
        <f>"6.5x"</f>
        <v>6.5x</v>
      </c>
      <c r="L4" s="1" t="str">
        <f>"2008"</f>
        <v>2008</v>
      </c>
      <c r="M4" s="1" t="str">
        <f>"17"</f>
        <v>17</v>
      </c>
      <c r="N4" s="1" t="str">
        <f>"Michael Chen"</f>
        <v>Michael Chen</v>
      </c>
      <c r="O4" s="1" t="str">
        <f>"mchen@freshhorizon.com"</f>
        <v>mchen@freshhorizon.com</v>
      </c>
      <c r="P4" s="1" t="str">
        <f>"Organic focus, strong regional brand, expansion opportunity"</f>
        <v>Organic focus, strong regional brand, expansion opportunity</v>
      </c>
    </row>
    <row r="5">
      <c r="A5" s="1" t="str">
        <f>"Athletic Avenue"</f>
        <v>Athletic Avenue</v>
      </c>
      <c r="B5" s="1" t="str">
        <f t="shared" si="1"/>
        <v>Retail</v>
      </c>
      <c r="C5" s="1" t="str">
        <f>"Sporting Goods"</f>
        <v>Sporting Goods</v>
      </c>
      <c r="D5" s="1" t="str">
        <f>"$118.4"</f>
        <v>$118.4</v>
      </c>
      <c r="E5" s="1" t="str">
        <f>"$21.3"</f>
        <v>$21.3</v>
      </c>
      <c r="F5" s="1" t="str">
        <f>"18.0%"</f>
        <v>18.0%</v>
      </c>
      <c r="G5" s="1" t="str">
        <f>"15.2%"</f>
        <v>15.2%</v>
      </c>
      <c r="H5" s="1" t="str">
        <f>"Denver, CO"</f>
        <v>Denver, CO</v>
      </c>
      <c r="I5" s="1" t="str">
        <f>"Family-Owned"</f>
        <v>Family-Owned</v>
      </c>
      <c r="J5" s="1" t="str">
        <f>"$170.5"</f>
        <v>$170.5</v>
      </c>
      <c r="K5" s="1" t="str">
        <f>"8.0x"</f>
        <v>8.0x</v>
      </c>
      <c r="L5" s="1" t="str">
        <f>"1992"</f>
        <v>1992</v>
      </c>
      <c r="M5" s="1" t="str">
        <f>"37"</f>
        <v>37</v>
      </c>
      <c r="N5" s="1" t="str">
        <f>"Robert Garcia"</f>
        <v>Robert Garcia</v>
      </c>
      <c r="O5" s="1" t="str">
        <f>"rgarcia@athleticavenue.com"</f>
        <v>rgarcia@athleticavenue.com</v>
      </c>
      <c r="P5" s="1" t="str">
        <f>"Premium positioning, loyal customer base, omnichannel capabilities"</f>
        <v>Premium positioning, loyal customer base, omnichannel capabilities</v>
      </c>
    </row>
    <row r="6">
      <c r="A6" s="1" t="str">
        <f>"TechGadget World"</f>
        <v>TechGadget World</v>
      </c>
      <c r="B6" s="1" t="str">
        <f t="shared" si="1"/>
        <v>Retail</v>
      </c>
      <c r="C6" s="1" t="str">
        <f>"Consumer Electronics"</f>
        <v>Consumer Electronics</v>
      </c>
      <c r="D6" s="1" t="str">
        <f>"$142.7"</f>
        <v>$142.7</v>
      </c>
      <c r="E6" s="1" t="str">
        <f>"$19.8"</f>
        <v>$19.8</v>
      </c>
      <c r="F6" s="1" t="str">
        <f>"13.9%"</f>
        <v>13.9%</v>
      </c>
      <c r="G6" s="1" t="str">
        <f>"6.8%"</f>
        <v>6.8%</v>
      </c>
      <c r="H6" s="1" t="str">
        <f>"San Jose, CA"</f>
        <v>San Jose, CA</v>
      </c>
      <c r="I6" s="1" t="str">
        <f>"Founder-Owned"</f>
        <v>Founder-Owned</v>
      </c>
      <c r="J6" s="1" t="str">
        <f>"$168.4"</f>
        <v>$168.4</v>
      </c>
      <c r="K6" s="1" t="str">
        <f>"8.5x"</f>
        <v>8.5x</v>
      </c>
      <c r="L6" s="1" t="str">
        <f>"2007"</f>
        <v>2007</v>
      </c>
      <c r="M6" s="1" t="str">
        <f>"28"</f>
        <v>28</v>
      </c>
      <c r="N6" s="1" t="str">
        <f>"Lisa Park"</f>
        <v>Lisa Park</v>
      </c>
      <c r="O6" s="1" t="str">
        <f>"lpark@techgadgetworld.com"</f>
        <v>lpark@techgadgetworld.com</v>
      </c>
      <c r="P6" s="1" t="str">
        <f>"Margin pressure from competition, but strong B2B division"</f>
        <v>Margin pressure from competition, but strong B2B division</v>
      </c>
    </row>
    <row r="7">
      <c r="A7" s="1" t="str">
        <f>"Coastal Outfitters"</f>
        <v>Coastal Outfitters</v>
      </c>
      <c r="B7" s="1" t="str">
        <f t="shared" si="1"/>
        <v>Retail</v>
      </c>
      <c r="C7" s="1" t="str">
        <f>"Outdoor Equipment"</f>
        <v>Outdoor Equipment</v>
      </c>
      <c r="D7" s="1" t="str">
        <f>"$57.4"</f>
        <v>$57.4</v>
      </c>
      <c r="E7" s="1" t="str">
        <f>"$9.1"</f>
        <v>$9.1</v>
      </c>
      <c r="F7" s="1" t="str">
        <f>"15.9%"</f>
        <v>15.9%</v>
      </c>
      <c r="G7" s="1" t="str">
        <f>"11.3%"</f>
        <v>11.3%</v>
      </c>
      <c r="H7" s="1" t="str">
        <f>"Seattle, WA"</f>
        <v>Seattle, WA</v>
      </c>
      <c r="I7" s="1" t="str">
        <f>"Private Equity (Fund II)"</f>
        <v>Private Equity (Fund II)</v>
      </c>
      <c r="J7" s="1" t="str">
        <f>"$73.0"</f>
        <v>$73.0</v>
      </c>
      <c r="K7" s="1" t="str">
        <f>"8.0x"</f>
        <v>8.0x</v>
      </c>
      <c r="L7" s="1" t="str">
        <f>"2001"</f>
        <v>2001</v>
      </c>
      <c r="M7" s="1" t="str">
        <f>"19"</f>
        <v>19</v>
      </c>
      <c r="N7" s="1" t="str">
        <f>"David Miller"</f>
        <v>David Miller</v>
      </c>
      <c r="O7" s="1" t="str">
        <f>"dmiller@coastaloutfitters.com"</f>
        <v>dmiller@coastaloutfitters.com</v>
      </c>
      <c r="P7" s="1" t="str">
        <f>"Premium brand, strong seasonality, potential add-on target"</f>
        <v>Premium brand, strong seasonality, potential add-on target</v>
      </c>
    </row>
    <row r="8">
      <c r="A8" s="1" t="str">
        <f>"Heritage Furniture Co."</f>
        <v>Heritage Furniture Co.</v>
      </c>
      <c r="B8" s="1" t="str">
        <f t="shared" si="1"/>
        <v>Retail</v>
      </c>
      <c r="C8" s="1" t="str">
        <f>"Home Furnishings"</f>
        <v>Home Furnishings</v>
      </c>
      <c r="D8" s="1" t="str">
        <f>"$62.8"</f>
        <v>$62.8</v>
      </c>
      <c r="E8" s="1" t="str">
        <f>"$8.2"</f>
        <v>$8.2</v>
      </c>
      <c r="F8" s="1" t="str">
        <f>"13.1%"</f>
        <v>13.1%</v>
      </c>
      <c r="G8" s="1" t="str">
        <f>"4.2%"</f>
        <v>4.2%</v>
      </c>
      <c r="H8" s="1" t="str">
        <f>"High Point, NC"</f>
        <v>High Point, NC</v>
      </c>
      <c r="I8" s="1" t="str">
        <f>"Family-Owned"</f>
        <v>Family-Owned</v>
      </c>
      <c r="J8" s="1" t="str">
        <f>"$53.3"</f>
        <v>$53.3</v>
      </c>
      <c r="K8" s="1" t="str">
        <f>"6.5x"</f>
        <v>6.5x</v>
      </c>
      <c r="L8" s="1" t="str">
        <f>"1978"</f>
        <v>1978</v>
      </c>
      <c r="M8" s="1" t="str">
        <f>"12"</f>
        <v>12</v>
      </c>
      <c r="N8" s="1" t="str">
        <f>"Thomas Wright"</f>
        <v>Thomas Wright</v>
      </c>
      <c r="O8" s="1" t="str">
        <f>"twright@heritagefurniture.com"</f>
        <v>twright@heritagefurniture.com</v>
      </c>
      <c r="P8" s="1" t="str">
        <f>"Traditional retail model, real estate holdings, succession planning needed"</f>
        <v>Traditional retail model, real estate holdings, succession planning needed</v>
      </c>
    </row>
    <row r="9">
      <c r="A9" s="1" t="str">
        <f>"StyleNow Apparel"</f>
        <v>StyleNow Apparel</v>
      </c>
      <c r="B9" s="1" t="str">
        <f t="shared" si="1"/>
        <v>Retail</v>
      </c>
      <c r="C9" s="1" t="str">
        <f>"Fast Fashion"</f>
        <v>Fast Fashion</v>
      </c>
      <c r="D9" s="1" t="str">
        <f>"$85.3"</f>
        <v>$85.3</v>
      </c>
      <c r="E9" s="1" t="str">
        <f>"$12.8"</f>
        <v>$12.8</v>
      </c>
      <c r="F9" s="1" t="str">
        <f>"15.0%"</f>
        <v>15.0%</v>
      </c>
      <c r="G9" s="1" t="str">
        <f>"17.6%"</f>
        <v>17.6%</v>
      </c>
      <c r="H9" s="1" t="str">
        <f>"Los Angeles, CA"</f>
        <v>Los Angeles, CA</v>
      </c>
      <c r="I9" s="1" t="str">
        <f>"Founder-Owned"</f>
        <v>Founder-Owned</v>
      </c>
      <c r="J9" s="1" t="str">
        <f>"$115.2"</f>
        <v>$115.2</v>
      </c>
      <c r="K9" s="1" t="str">
        <f>"9.0x"</f>
        <v>9.0x</v>
      </c>
      <c r="L9" s="1" t="str">
        <f>"2012"</f>
        <v>2012</v>
      </c>
      <c r="M9" s="1" t="str">
        <f>"31"</f>
        <v>31</v>
      </c>
      <c r="N9" s="1" t="str">
        <f>"Jennifer Lopez"</f>
        <v>Jennifer Lopez</v>
      </c>
      <c r="O9" s="1" t="str">
        <f>"jlopez@stylenowapparel.com"</f>
        <v>jlopez@stylenowapparel.com</v>
      </c>
      <c r="P9" s="1" t="str">
        <f>"High growth, influencer partnerships, expanding internationally"</f>
        <v>High growth, influencer partnerships, expanding internationally</v>
      </c>
    </row>
    <row r="10">
      <c r="A10" s="1" t="str">
        <f>"Culinary Essentials"</f>
        <v>Culinary Essentials</v>
      </c>
      <c r="B10" s="1" t="str">
        <f t="shared" si="1"/>
        <v>Retail</v>
      </c>
      <c r="C10" s="1" t="str">
        <f>"Kitchenware"</f>
        <v>Kitchenware</v>
      </c>
      <c r="D10" s="1" t="str">
        <f>"$47.2"</f>
        <v>$47.2</v>
      </c>
      <c r="E10" s="1" t="str">
        <f>"$7.8"</f>
        <v>$7.8</v>
      </c>
      <c r="F10" s="1" t="str">
        <f>"16.5%"</f>
        <v>16.5%</v>
      </c>
      <c r="G10" s="1" t="str">
        <f>"8.9%"</f>
        <v>8.9%</v>
      </c>
      <c r="H10" s="1" t="str">
        <f>"Boston, MA"</f>
        <v>Boston, MA</v>
      </c>
      <c r="I10" s="1" t="str">
        <f>"Private Equity (Fund I)"</f>
        <v>Private Equity (Fund I)</v>
      </c>
      <c r="J10" s="1" t="str">
        <f>"$54.6"</f>
        <v>$54.6</v>
      </c>
      <c r="K10" s="1" t="str">
        <f t="shared" ref="K10:K11" si="2">"7.0x"</f>
        <v>7.0x</v>
      </c>
      <c r="L10" s="1" t="str">
        <f>"2003"</f>
        <v>2003</v>
      </c>
      <c r="M10" s="1" t="str">
        <f>"15"</f>
        <v>15</v>
      </c>
      <c r="N10" s="1" t="str">
        <f>"Andrew Kim"</f>
        <v>Andrew Kim</v>
      </c>
      <c r="O10" s="1" t="str">
        <f>"akim@culinaryessentials.com"</f>
        <v>akim@culinaryessentials.com</v>
      </c>
      <c r="P10" s="1" t="str">
        <f>"Premium positioning, strong margins, potential catalog consolidation"</f>
        <v>Premium positioning, strong margins, potential catalog consolidation</v>
      </c>
    </row>
    <row r="11">
      <c r="A11" s="1" t="str">
        <f>"Kidz Corner"</f>
        <v>Kidz Corner</v>
      </c>
      <c r="B11" s="1" t="str">
        <f t="shared" si="1"/>
        <v>Retail</v>
      </c>
      <c r="C11" s="1" t="str">
        <f>"Children's Products"</f>
        <v>Children's Products</v>
      </c>
      <c r="D11" s="1" t="str">
        <f>"$39.6"</f>
        <v>$39.6</v>
      </c>
      <c r="E11" s="1" t="str">
        <f>"$5.5"</f>
        <v>$5.5</v>
      </c>
      <c r="F11" s="1" t="str">
        <f>"13.9%"</f>
        <v>13.9%</v>
      </c>
      <c r="G11" s="1" t="str">
        <f>"7.2%"</f>
        <v>7.2%</v>
      </c>
      <c r="H11" s="1" t="str">
        <f>"Minneapolis, MN"</f>
        <v>Minneapolis, MN</v>
      </c>
      <c r="I11" s="1" t="str">
        <f>"Family-Owned"</f>
        <v>Family-Owned</v>
      </c>
      <c r="J11" s="1" t="str">
        <f>"$38.5"</f>
        <v>$38.5</v>
      </c>
      <c r="K11" s="1" t="str">
        <f t="shared" si="2"/>
        <v>7.0x</v>
      </c>
      <c r="L11" s="1" t="str">
        <f>"1995"</f>
        <v>1995</v>
      </c>
      <c r="M11" s="1" t="str">
        <f>"21"</f>
        <v>21</v>
      </c>
      <c r="N11" s="1" t="str">
        <f>"Rebecca Johnson"</f>
        <v>Rebecca Johnson</v>
      </c>
      <c r="O11" s="1" t="str">
        <f>"rjohnson@kidzcorner.com"</f>
        <v>rjohnson@kidzcorner.com</v>
      </c>
      <c r="P11" s="1" t="str">
        <f>"Regional player, loyal customer base, real estate optimization opportunity"</f>
        <v>Regional player, loyal customer base, real estate optimization opportunity</v>
      </c>
    </row>
    <row r="12">
      <c r="A12" s="1" t="str">
        <f>"Wellness Direct"</f>
        <v>Wellness Direct</v>
      </c>
      <c r="B12" s="1" t="str">
        <f t="shared" si="1"/>
        <v>Retail</v>
      </c>
      <c r="C12" s="1" t="str">
        <f>"Health &amp; Wellness"</f>
        <v>Health &amp; Wellness</v>
      </c>
      <c r="D12" s="1" t="str">
        <f>"$67.2"</f>
        <v>$67.2</v>
      </c>
      <c r="E12" s="1" t="str">
        <f>"$11.4"</f>
        <v>$11.4</v>
      </c>
      <c r="F12" s="1" t="str">
        <f>"17.0%"</f>
        <v>17.0%</v>
      </c>
      <c r="G12" s="1" t="str">
        <f>"14.8%"</f>
        <v>14.8%</v>
      </c>
      <c r="H12" s="1" t="str">
        <f>"Boulder, CO"</f>
        <v>Boulder, CO</v>
      </c>
      <c r="I12" s="1" t="str">
        <f>"Founder-Owned"</f>
        <v>Founder-Owned</v>
      </c>
      <c r="J12" s="1" t="str">
        <f>"$91.4"</f>
        <v>$91.4</v>
      </c>
      <c r="K12" s="1" t="str">
        <f>"8.0x"</f>
        <v>8.0x</v>
      </c>
      <c r="L12" s="1" t="str">
        <f>"2009"</f>
        <v>2009</v>
      </c>
      <c r="M12" s="1" t="str">
        <f>"24"</f>
        <v>24</v>
      </c>
      <c r="N12" s="1" t="str">
        <f>"Sophia Martinez"</f>
        <v>Sophia Martinez</v>
      </c>
      <c r="O12" s="1" t="str">
        <f>"smartinez@wellnessdirect.com"</f>
        <v>smartinez@wellnessdirect.com</v>
      </c>
      <c r="P12" s="1" t="str">
        <f>"High-growth category, premium margins, e-commerce strength"</f>
        <v>High-growth category, premium margins, e-commerce strength</v>
      </c>
    </row>
    <row r="13">
      <c r="A13" s="1" t="str">
        <f>"Countryside Pets"</f>
        <v>Countryside Pets</v>
      </c>
      <c r="B13" s="1" t="str">
        <f t="shared" si="1"/>
        <v>Retail</v>
      </c>
      <c r="C13" s="1" t="str">
        <f>"Pet Supplies"</f>
        <v>Pet Supplies</v>
      </c>
      <c r="D13" s="1" t="str">
        <f>"$72.5"</f>
        <v>$72.5</v>
      </c>
      <c r="E13" s="1" t="str">
        <f>"$10.1"</f>
        <v>$10.1</v>
      </c>
      <c r="F13" s="1" t="str">
        <f>"13.9%"</f>
        <v>13.9%</v>
      </c>
      <c r="G13" s="1" t="str">
        <f>"9.5%"</f>
        <v>9.5%</v>
      </c>
      <c r="H13" s="1" t="str">
        <f>"Nashville, TN"</f>
        <v>Nashville, TN</v>
      </c>
      <c r="I13" s="1" t="str">
        <f t="shared" ref="I13:I14" si="3">"Family-Owned"</f>
        <v>Family-Owned</v>
      </c>
      <c r="J13" s="1" t="str">
        <f>"$75.7"</f>
        <v>$75.7</v>
      </c>
      <c r="K13" s="1" t="str">
        <f>"7.5x"</f>
        <v>7.5x</v>
      </c>
      <c r="L13" s="1" t="str">
        <f>"1988"</f>
        <v>1988</v>
      </c>
      <c r="M13" s="1" t="str">
        <f>"32"</f>
        <v>32</v>
      </c>
      <c r="N13" s="1" t="str">
        <f>"Brian Taylor"</f>
        <v>Brian Taylor</v>
      </c>
      <c r="O13" s="1" t="str">
        <f>"btaylor@countrysidepets.com"</f>
        <v>btaylor@countrysidepets.com</v>
      </c>
      <c r="P13" s="1" t="str">
        <f>"Stable business, services expansion opportunity, potential roll-up"</f>
        <v>Stable business, services expansion opportunity, potential roll-up</v>
      </c>
    </row>
    <row r="14">
      <c r="A14" s="1" t="str">
        <f>"Modern Home Solutions"</f>
        <v>Modern Home Solutions</v>
      </c>
      <c r="B14" s="1" t="str">
        <f t="shared" si="1"/>
        <v>Retail</v>
      </c>
      <c r="C14" s="1" t="str">
        <f>"Home Improvement"</f>
        <v>Home Improvement</v>
      </c>
      <c r="D14" s="1" t="str">
        <f>"$114.6"</f>
        <v>$114.6</v>
      </c>
      <c r="E14" s="1" t="str">
        <f>"$18.3"</f>
        <v>$18.3</v>
      </c>
      <c r="F14" s="1" t="str">
        <f>"16.0%"</f>
        <v>16.0%</v>
      </c>
      <c r="G14" s="1" t="str">
        <f>"7.8%"</f>
        <v>7.8%</v>
      </c>
      <c r="H14" s="1" t="str">
        <f>"Atlanta, GA"</f>
        <v>Atlanta, GA</v>
      </c>
      <c r="I14" s="1" t="str">
        <f t="shared" si="3"/>
        <v>Family-Owned</v>
      </c>
      <c r="J14" s="1" t="str">
        <f>"$128.5"</f>
        <v>$128.5</v>
      </c>
      <c r="K14" s="1" t="str">
        <f>"7.0x"</f>
        <v>7.0x</v>
      </c>
      <c r="L14" s="1" t="str">
        <f>"1982"</f>
        <v>1982</v>
      </c>
      <c r="M14" s="1" t="str">
        <f>"27"</f>
        <v>27</v>
      </c>
      <c r="N14" s="1" t="str">
        <f>"Richard Adams"</f>
        <v>Richard Adams</v>
      </c>
      <c r="O14" s="1" t="str">
        <f>"radams@modernhome.com"</f>
        <v>radams@modernhome.com</v>
      </c>
      <c r="P14" s="1" t="str">
        <f>"Strong contractor business, real estate assets, succession issues"</f>
        <v>Strong contractor business, real estate assets, succession issues</v>
      </c>
    </row>
    <row r="15">
      <c r="A15" s="1" t="str">
        <f>"Elite Footwear"</f>
        <v>Elite Footwear</v>
      </c>
      <c r="B15" s="1" t="str">
        <f t="shared" si="1"/>
        <v>Retail</v>
      </c>
      <c r="C15" s="1" t="str">
        <f>"Specialty Footwear"</f>
        <v>Specialty Footwear</v>
      </c>
      <c r="D15" s="1" t="str">
        <f>"$52.8"</f>
        <v>$52.8</v>
      </c>
      <c r="E15" s="1" t="str">
        <f>"$9.0"</f>
        <v>$9.0</v>
      </c>
      <c r="F15" s="1" t="str">
        <f>"17.0%"</f>
        <v>17.0%</v>
      </c>
      <c r="G15" s="1" t="str">
        <f>"12.5%"</f>
        <v>12.5%</v>
      </c>
      <c r="H15" s="1" t="str">
        <f>"Miami, FL"</f>
        <v>Miami, FL</v>
      </c>
      <c r="I15" s="1" t="str">
        <f>"Founder-Owned"</f>
        <v>Founder-Owned</v>
      </c>
      <c r="J15" s="1" t="str">
        <f>"$81.0"</f>
        <v>$81.0</v>
      </c>
      <c r="K15" s="1" t="str">
        <f>"9.0x"</f>
        <v>9.0x</v>
      </c>
      <c r="L15" s="1" t="str">
        <f>"2006"</f>
        <v>2006</v>
      </c>
      <c r="M15" s="1" t="str">
        <f>"18"</f>
        <v>18</v>
      </c>
      <c r="N15" s="1" t="str">
        <f>"Carlos Rodriguez"</f>
        <v>Carlos Rodriguez</v>
      </c>
      <c r="O15" s="1" t="str">
        <f>"crodriguez@elitefootwear.com"</f>
        <v>crodriguez@elitefootwear.com</v>
      </c>
      <c r="P15" s="1" t="str">
        <f>"Premium positioning, DTC expansion, international growth potential"</f>
        <v>Premium positioning, DTC expansion, international growth potential</v>
      </c>
    </row>
    <row r="16">
      <c r="A16" s="1" t="str">
        <f>"Gourmet Market"</f>
        <v>Gourmet Market</v>
      </c>
      <c r="B16" s="1" t="str">
        <f t="shared" si="1"/>
        <v>Retail</v>
      </c>
      <c r="C16" s="1" t="str">
        <f>"Specialty Grocery"</f>
        <v>Specialty Grocery</v>
      </c>
      <c r="D16" s="1" t="str">
        <f>"$88.3"</f>
        <v>$88.3</v>
      </c>
      <c r="E16" s="1" t="str">
        <f>"$10.6"</f>
        <v>$10.6</v>
      </c>
      <c r="F16" s="1" t="str">
        <f>"12.0%"</f>
        <v>12.0%</v>
      </c>
      <c r="G16" s="1" t="str">
        <f>"6.3%"</f>
        <v>6.3%</v>
      </c>
      <c r="H16" s="1" t="str">
        <f>"San Francisco, CA"</f>
        <v>San Francisco, CA</v>
      </c>
      <c r="I16" s="1" t="str">
        <f>"Family-Owned"</f>
        <v>Family-Owned</v>
      </c>
      <c r="J16" s="1" t="str">
        <f>"$74.2"</f>
        <v>$74.2</v>
      </c>
      <c r="K16" s="1" t="str">
        <f>"7.0x"</f>
        <v>7.0x</v>
      </c>
      <c r="L16" s="1" t="str">
        <f>"1973"</f>
        <v>1973</v>
      </c>
      <c r="M16" s="1" t="str">
        <f>"9"</f>
        <v>9</v>
      </c>
      <c r="N16" s="1" t="str">
        <f>"Elizabeth Wong"</f>
        <v>Elizabeth Wong</v>
      </c>
      <c r="O16" s="1" t="str">
        <f>"ewong@gourmetmarket.com"</f>
        <v>ewong@gourmetmarket.com</v>
      </c>
      <c r="P16" s="1" t="str">
        <f>"Urban locations, high-end positioning, real estate value"</f>
        <v>Urban locations, high-end positioning, real estate value</v>
      </c>
    </row>
    <row r="17">
      <c r="A17" s="1" t="str">
        <f>"BookHaven Plus"</f>
        <v>BookHaven Plus</v>
      </c>
      <c r="B17" s="1" t="str">
        <f t="shared" si="1"/>
        <v>Retail</v>
      </c>
      <c r="C17" s="1" t="str">
        <f>"Books &amp; Media"</f>
        <v>Books &amp; Media</v>
      </c>
      <c r="D17" s="1" t="str">
        <f>"$43.7"</f>
        <v>$43.7</v>
      </c>
      <c r="E17" s="1" t="str">
        <f>"$5.7"</f>
        <v>$5.7</v>
      </c>
      <c r="F17" s="1" t="str">
        <f>"13.0%"</f>
        <v>13.0%</v>
      </c>
      <c r="G17" s="1" t="str">
        <f>"2.1%"</f>
        <v>2.1%</v>
      </c>
      <c r="H17" s="1" t="str">
        <f>"Philadelphia, PA"</f>
        <v>Philadelphia, PA</v>
      </c>
      <c r="I17" s="1" t="str">
        <f>"Founder-Owned"</f>
        <v>Founder-Owned</v>
      </c>
      <c r="J17" s="1" t="str">
        <f>"$34.0"</f>
        <v>$34.0</v>
      </c>
      <c r="K17" s="1" t="str">
        <f>"6.0x"</f>
        <v>6.0x</v>
      </c>
      <c r="L17" s="1" t="str">
        <f>"1998"</f>
        <v>1998</v>
      </c>
      <c r="M17" s="1" t="str">
        <f>"14"</f>
        <v>14</v>
      </c>
      <c r="N17" s="1" t="str">
        <f>"Daniel Brown"</f>
        <v>Daniel Brown</v>
      </c>
      <c r="O17" s="1" t="str">
        <f>"dbrown@bookhaven.com"</f>
        <v>dbrown@bookhaven.com</v>
      </c>
      <c r="P17" s="1" t="str">
        <f>"Challenged category, but strong community presence and events business"</f>
        <v>Challenged category, but strong community presence and events business</v>
      </c>
    </row>
    <row r="18">
      <c r="A18" s="1" t="str">
        <f>"OutdoorLife Direct"</f>
        <v>OutdoorLife Direct</v>
      </c>
      <c r="B18" s="1" t="str">
        <f t="shared" si="1"/>
        <v>Retail</v>
      </c>
      <c r="C18" s="1" t="str">
        <f>"Outdoor Equipment"</f>
        <v>Outdoor Equipment</v>
      </c>
      <c r="D18" s="1" t="str">
        <f>"$98.4"</f>
        <v>$98.4</v>
      </c>
      <c r="E18" s="1" t="str">
        <f>"$17.7"</f>
        <v>$17.7</v>
      </c>
      <c r="F18" s="1" t="str">
        <f>"18.0%"</f>
        <v>18.0%</v>
      </c>
      <c r="G18" s="1" t="str">
        <f>"13.9%"</f>
        <v>13.9%</v>
      </c>
      <c r="H18" s="1" t="str">
        <f>"Boise, ID"</f>
        <v>Boise, ID</v>
      </c>
      <c r="I18" s="1" t="str">
        <f>"Private Equity (Fund III)"</f>
        <v>Private Equity (Fund III)</v>
      </c>
      <c r="J18" s="1" t="str">
        <f>"$150.0"</f>
        <v>$150.0</v>
      </c>
      <c r="K18" s="1" t="str">
        <f>"8.5x"</f>
        <v>8.5x</v>
      </c>
      <c r="L18" s="1" t="str">
        <f>"2004"</f>
        <v>2004</v>
      </c>
      <c r="M18" s="1" t="str">
        <f>"25"</f>
        <v>25</v>
      </c>
      <c r="N18" s="1" t="str">
        <f>"Nicole Carter"</f>
        <v>Nicole Carter</v>
      </c>
      <c r="O18" s="1" t="str">
        <f>"ncarter@outdoorlife.com"</f>
        <v>ncarter@outdoorlife.com</v>
      </c>
      <c r="P18" s="1" t="str">
        <f>"Premium brand, strong e-commerce, potential synergies with Coastal"</f>
        <v>Premium brand, strong e-commerce, potential synergies with Coastal</v>
      </c>
    </row>
    <row r="19">
      <c r="A19" s="1" t="str">
        <f>"ValueMart Retail"</f>
        <v>ValueMart Retail</v>
      </c>
      <c r="B19" s="1" t="str">
        <f t="shared" si="1"/>
        <v>Retail</v>
      </c>
      <c r="C19" s="1" t="str">
        <f>"Discount Retail"</f>
        <v>Discount Retail</v>
      </c>
      <c r="D19" s="1" t="str">
        <f>"$187.5"</f>
        <v>$187.5</v>
      </c>
      <c r="E19" s="1" t="str">
        <f>"$22.5"</f>
        <v>$22.5</v>
      </c>
      <c r="F19" s="1" t="str">
        <f>"12.0%"</f>
        <v>12.0%</v>
      </c>
      <c r="G19" s="1" t="str">
        <f>"5.4%"</f>
        <v>5.4%</v>
      </c>
      <c r="H19" s="1" t="str">
        <f>"Dallas, TX"</f>
        <v>Dallas, TX</v>
      </c>
      <c r="I19" s="1" t="str">
        <f>"Family-Owned"</f>
        <v>Family-Owned</v>
      </c>
      <c r="J19" s="1" t="str">
        <f>"$135.0"</f>
        <v>$135.0</v>
      </c>
      <c r="K19" s="1" t="str">
        <f>"6.0x"</f>
        <v>6.0x</v>
      </c>
      <c r="L19" s="1" t="str">
        <f>"1981"</f>
        <v>1981</v>
      </c>
      <c r="M19" s="1" t="str">
        <f>"47"</f>
        <v>47</v>
      </c>
      <c r="N19" s="1" t="str">
        <f>"Jeffrey Williams"</f>
        <v>Jeffrey Williams</v>
      </c>
      <c r="O19" s="1" t="str">
        <f>"jwilliams@valuemart.com"</f>
        <v>jwilliams@valuemart.com</v>
      </c>
      <c r="P19" s="1" t="str">
        <f>"Value positioning, real estate opportunities, operational efficiencies needed"</f>
        <v>Value positioning, real estate opportunities, operational efficiencies needed</v>
      </c>
    </row>
    <row r="20">
      <c r="A20" s="1" t="str">
        <f>"LuxeDecor Interiors"</f>
        <v>LuxeDecor Interiors</v>
      </c>
      <c r="B20" s="1" t="str">
        <f t="shared" si="1"/>
        <v>Retail</v>
      </c>
      <c r="C20" s="1" t="str">
        <f>"Home Furnishings"</f>
        <v>Home Furnishings</v>
      </c>
      <c r="D20" s="1" t="str">
        <f>"$41.5"</f>
        <v>$41.5</v>
      </c>
      <c r="E20" s="1" t="str">
        <f>"$7.9"</f>
        <v>$7.9</v>
      </c>
      <c r="F20" s="1" t="str">
        <f>"19.0%"</f>
        <v>19.0%</v>
      </c>
      <c r="G20" s="1" t="str">
        <f>"9.8%"</f>
        <v>9.8%</v>
      </c>
      <c r="H20" s="1" t="str">
        <f>"Scottsdale, AZ"</f>
        <v>Scottsdale, AZ</v>
      </c>
      <c r="I20" s="1" t="str">
        <f t="shared" ref="I20:I21" si="4">"Founder-Owned"</f>
        <v>Founder-Owned</v>
      </c>
      <c r="J20" s="1" t="str">
        <f>"$63.5"</f>
        <v>$63.5</v>
      </c>
      <c r="K20" s="1" t="str">
        <f t="shared" ref="K20:K21" si="5">"8.0x"</f>
        <v>8.0x</v>
      </c>
      <c r="L20" s="1" t="str">
        <f>"2010"</f>
        <v>2010</v>
      </c>
      <c r="M20" s="1" t="str">
        <f>"8"</f>
        <v>8</v>
      </c>
      <c r="N20" s="1" t="str">
        <f>"Amanda Chen"</f>
        <v>Amanda Chen</v>
      </c>
      <c r="O20" s="1" t="str">
        <f>"achen@luxedecor.com"</f>
        <v>achen@luxedecor.com</v>
      </c>
      <c r="P20" s="1" t="str">
        <f>"High-end positioning, design services, strong digital presence"</f>
        <v>High-end positioning, design services, strong digital presence</v>
      </c>
    </row>
    <row r="21">
      <c r="A21" s="1" t="str">
        <f>"FitLife Equipment"</f>
        <v>FitLife Equipment</v>
      </c>
      <c r="B21" s="1" t="str">
        <f t="shared" si="1"/>
        <v>Retail</v>
      </c>
      <c r="C21" s="1" t="str">
        <f>"Fitness Equipment"</f>
        <v>Fitness Equipment</v>
      </c>
      <c r="D21" s="1" t="str">
        <f>"$61.3"</f>
        <v>$61.3</v>
      </c>
      <c r="E21" s="1" t="str">
        <f>"$9.8"</f>
        <v>$9.8</v>
      </c>
      <c r="F21" s="1" t="str">
        <f>"16.0%"</f>
        <v>16.0%</v>
      </c>
      <c r="G21" s="1" t="str">
        <f>"18.5%"</f>
        <v>18.5%</v>
      </c>
      <c r="H21" s="1" t="str">
        <f>"Columbus, OH"</f>
        <v>Columbus, OH</v>
      </c>
      <c r="I21" s="1" t="str">
        <f t="shared" si="4"/>
        <v>Founder-Owned</v>
      </c>
      <c r="J21" s="1" t="str">
        <f>"$78.5"</f>
        <v>$78.5</v>
      </c>
      <c r="K21" s="1" t="str">
        <f t="shared" si="5"/>
        <v>8.0x</v>
      </c>
      <c r="L21" s="1" t="str">
        <f>"2011"</f>
        <v>2011</v>
      </c>
      <c r="M21" s="1" t="str">
        <f>"16"</f>
        <v>16</v>
      </c>
      <c r="N21" s="1" t="str">
        <f>"Mark Johnson"</f>
        <v>Mark Johnson</v>
      </c>
      <c r="O21" s="1" t="str">
        <f>"mjohnson@fitlife.com"</f>
        <v>mjohnson@fitlife.com</v>
      </c>
      <c r="P21" s="1" t="str">
        <f>"Growing category, DTC expansion, recurring revenue from subscriptions"</f>
        <v>Growing category, DTC expansion, recurring revenue from subscriptions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"Deal_ID"</f>
        <v>Deal_ID</v>
      </c>
      <c r="B1" s="1" t="str">
        <f>"Company_Name"</f>
        <v>Company_Name</v>
      </c>
      <c r="C1" s="1" t="str">
        <f>"Source_Type"</f>
        <v>Source_Type</v>
      </c>
      <c r="D1" s="1" t="str">
        <f>"Source_Name"</f>
        <v>Source_Name</v>
      </c>
      <c r="E1" s="1" t="str">
        <f>"Source_Contact"</f>
        <v>Source_Contact</v>
      </c>
      <c r="F1" s="1" t="str">
        <f>"Date_Identified"</f>
        <v>Date_Identified</v>
      </c>
      <c r="G1" s="1" t="str">
        <f>"Stage"</f>
        <v>Stage</v>
      </c>
      <c r="H1" s="1" t="str">
        <f>"Initial_Interest_Level"</f>
        <v>Initial_Interest_Level</v>
      </c>
      <c r="I1" s="1" t="str">
        <f>"Owner"</f>
        <v>Owner</v>
      </c>
      <c r="J1" s="1" t="str">
        <f>"Last_Contact_Date"</f>
        <v>Last_Contact_Date</v>
      </c>
      <c r="K1" s="1" t="str">
        <f>"Next_Steps"</f>
        <v>Next_Steps</v>
      </c>
      <c r="L1" s="1" t="str">
        <f>"Target_LOI_Date"</f>
        <v>Target_LOI_Date</v>
      </c>
      <c r="M1" s="1" t="str">
        <f>"Exclusivity"</f>
        <v>Exclusivity</v>
      </c>
      <c r="N1" s="1" t="str">
        <f>"Estimated_EV_MM"</f>
        <v>Estimated_EV_MM</v>
      </c>
      <c r="O1" s="1" t="str">
        <f>"Investment_Thesis"</f>
        <v>Investment_Thesis</v>
      </c>
      <c r="P1" s="1" t="str">
        <f>"Known_Competitors"</f>
        <v>Known_Competitors</v>
      </c>
      <c r="Q1" s="1" t="str">
        <f>"Notes"</f>
        <v>Notes</v>
      </c>
    </row>
    <row r="2">
      <c r="A2" s="1" t="str">
        <f>"WRC-2025-001"</f>
        <v>WRC-2025-001</v>
      </c>
      <c r="B2" s="1" t="str">
        <f>"UrbanRetail Partners"</f>
        <v>UrbanRetail Partners</v>
      </c>
      <c r="C2" s="1" t="str">
        <f>"Proprietary"</f>
        <v>Proprietary</v>
      </c>
      <c r="D2" s="1" t="str">
        <f>"Industry Conference"</f>
        <v>Industry Conference</v>
      </c>
      <c r="E2" s="1" t="str">
        <f>"James Wilson"</f>
        <v>James Wilson</v>
      </c>
      <c r="F2" s="1" t="str">
        <f>"2025-01-15"</f>
        <v>2025-01-15</v>
      </c>
      <c r="G2" s="1" t="str">
        <f>"Initial Outreach"</f>
        <v>Initial Outreach</v>
      </c>
      <c r="H2" s="1" t="str">
        <f>"High"</f>
        <v>High</v>
      </c>
      <c r="I2" s="1" t="str">
        <f>"Alex Thompson"</f>
        <v>Alex Thompson</v>
      </c>
      <c r="J2" s="1" t="str">
        <f>"2025-04-20"</f>
        <v>2025-04-20</v>
      </c>
      <c r="K2" s="1" t="str">
        <f>"Schedule management meeting"</f>
        <v>Schedule management meeting</v>
      </c>
      <c r="L2" s="1" t="str">
        <f>"2025-06-30"</f>
        <v>2025-06-30</v>
      </c>
      <c r="M2" s="1" t="str">
        <f t="shared" ref="M2:M3" si="1">"No"</f>
        <v>No</v>
      </c>
      <c r="N2" s="1" t="str">
        <f>"$45-55M"</f>
        <v>$45-55M</v>
      </c>
      <c r="O2" s="1" t="str">
        <f>"Omnichannel expansion, margin improvement through supply chain optimization"</f>
        <v>Omnichannel expansion, margin improvement through supply chain optimization</v>
      </c>
      <c r="P2" s="1" t="str">
        <f>"Crossroads Capital"</f>
        <v>Crossroads Capital</v>
      </c>
      <c r="Q2" s="1" t="str">
        <f>"Founder seeking partial liquidity; maintains strong connections with suppliers"</f>
        <v>Founder seeking partial liquidity; maintains strong connections with suppliers</v>
      </c>
    </row>
    <row r="3">
      <c r="A3" s="1" t="str">
        <f>"WRC-2025-002"</f>
        <v>WRC-2025-002</v>
      </c>
      <c r="B3" s="1" t="str">
        <f>"Luminance Home Goods"</f>
        <v>Luminance Home Goods</v>
      </c>
      <c r="C3" s="1" t="str">
        <f>"Investment Bank"</f>
        <v>Investment Bank</v>
      </c>
      <c r="D3" s="1" t="str">
        <f>"Morgan Stanley"</f>
        <v>Morgan Stanley</v>
      </c>
      <c r="E3" s="1" t="str">
        <f>"David Chen"</f>
        <v>David Chen</v>
      </c>
      <c r="F3" s="1" t="str">
        <f>"2025-02-03"</f>
        <v>2025-02-03</v>
      </c>
      <c r="G3" s="1" t="str">
        <f>"Management Meeting"</f>
        <v>Management Meeting</v>
      </c>
      <c r="H3" s="1" t="str">
        <f>"Medium"</f>
        <v>Medium</v>
      </c>
      <c r="I3" s="1" t="str">
        <f>"Jennifer Davis"</f>
        <v>Jennifer Davis</v>
      </c>
      <c r="J3" s="1" t="str">
        <f>"2025-04-15"</f>
        <v>2025-04-15</v>
      </c>
      <c r="K3" s="1" t="str">
        <f>"Follow-up with additional questions"</f>
        <v>Follow-up with additional questions</v>
      </c>
      <c r="L3" s="1" t="str">
        <f>"2025-07-15"</f>
        <v>2025-07-15</v>
      </c>
      <c r="M3" s="1" t="str">
        <f t="shared" si="1"/>
        <v>No</v>
      </c>
      <c r="N3" s="1" t="str">
        <f>"$100-120M"</f>
        <v>$100-120M</v>
      </c>
      <c r="O3" s="1" t="str">
        <f>"E-commerce acceleration, international expansion opportunities"</f>
        <v>E-commerce acceleration, international expansion opportunities</v>
      </c>
      <c r="P3" s="1" t="str">
        <f>"Harbor Ventures; BlueSky Capital"</f>
        <v>Harbor Ventures; BlueSky Capital</v>
      </c>
      <c r="Q3" s="1" t="str">
        <f>"PE-owned (4 years into holding); seller expectations may be high"</f>
        <v>PE-owned (4 years into holding); seller expectations may be high</v>
      </c>
    </row>
    <row r="4">
      <c r="A4" s="1" t="str">
        <f>"WRC-2025-003"</f>
        <v>WRC-2025-003</v>
      </c>
      <c r="B4" s="1" t="str">
        <f>"Fresh Horizon Foods"</f>
        <v>Fresh Horizon Foods</v>
      </c>
      <c r="C4" s="1" t="str">
        <f>"Proprietary"</f>
        <v>Proprietary</v>
      </c>
      <c r="D4" s="1" t="str">
        <f>"Executive Network"</f>
        <v>Executive Network</v>
      </c>
      <c r="E4" s="1" t="str">
        <f>"Michael Chen"</f>
        <v>Michael Chen</v>
      </c>
      <c r="F4" s="1" t="str">
        <f>"2025-02-10"</f>
        <v>2025-02-10</v>
      </c>
      <c r="G4" s="1" t="str">
        <f>"Preliminary Diligence"</f>
        <v>Preliminary Diligence</v>
      </c>
      <c r="H4" s="1" t="str">
        <f>"High"</f>
        <v>High</v>
      </c>
      <c r="I4" s="1" t="str">
        <f>"Alex Thompson"</f>
        <v>Alex Thompson</v>
      </c>
      <c r="J4" s="1" t="str">
        <f>"2025-04-25"</f>
        <v>2025-04-25</v>
      </c>
      <c r="K4" s="1" t="str">
        <f>"Complete initial financial review"</f>
        <v>Complete initial financial review</v>
      </c>
      <c r="L4" s="1" t="str">
        <f>"2025-06-15"</f>
        <v>2025-06-15</v>
      </c>
      <c r="M4" s="1" t="str">
        <f>"Yes"</f>
        <v>Yes</v>
      </c>
      <c r="N4" s="1" t="str">
        <f>"$75-90M"</f>
        <v>$75-90M</v>
      </c>
      <c r="O4" s="1" t="str">
        <f>"Geographic expansion, private label development"</f>
        <v>Geographic expansion, private label development</v>
      </c>
      <c r="P4" s="1" t="str">
        <f>"Green Field Partners"</f>
        <v>Green Field Partners</v>
      </c>
      <c r="Q4" s="1" t="str">
        <f>"Exclusivity secured through 6/30; founder seeking majority exit"</f>
        <v>Exclusivity secured through 6/30; founder seeking majority exit</v>
      </c>
    </row>
    <row r="5">
      <c r="A5" s="1" t="str">
        <f>"WRC-2025-004"</f>
        <v>WRC-2025-004</v>
      </c>
      <c r="B5" s="1" t="str">
        <f>"Athletic Avenue"</f>
        <v>Athletic Avenue</v>
      </c>
      <c r="C5" s="1" t="str">
        <f>"Investment Bank"</f>
        <v>Investment Bank</v>
      </c>
      <c r="D5" s="1" t="str">
        <f>"Goldman Sachs"</f>
        <v>Goldman Sachs</v>
      </c>
      <c r="E5" s="1" t="str">
        <f>"Sarah Williams"</f>
        <v>Sarah Williams</v>
      </c>
      <c r="F5" s="1" t="str">
        <f>"2025-02-17"</f>
        <v>2025-02-17</v>
      </c>
      <c r="G5" s="1" t="str">
        <f>"Initial Outreach"</f>
        <v>Initial Outreach</v>
      </c>
      <c r="H5" s="1" t="str">
        <f>"Low"</f>
        <v>Low</v>
      </c>
      <c r="I5" s="1" t="str">
        <f>"Jennifer Davis"</f>
        <v>Jennifer Davis</v>
      </c>
      <c r="J5" s="1" t="str">
        <f>"2025-03-10"</f>
        <v>2025-03-10</v>
      </c>
      <c r="K5" s="1" t="str">
        <f>"Declined to pursue"</f>
        <v>Declined to pursue</v>
      </c>
      <c r="L5" s="1" t="str">
        <f>"N/A"</f>
        <v>N/A</v>
      </c>
      <c r="M5" s="1" t="str">
        <f t="shared" ref="M5:M21" si="2">"No"</f>
        <v>No</v>
      </c>
      <c r="N5" s="1" t="str">
        <f>"$165-180M"</f>
        <v>$165-180M</v>
      </c>
      <c r="O5" s="1" t="str">
        <f>"Omnichannel integration, international expansion"</f>
        <v>Omnichannel integration, international expansion</v>
      </c>
      <c r="P5" s="1" t="str">
        <f>"Summit Partners"</f>
        <v>Summit Partners</v>
      </c>
      <c r="Q5" s="1" t="str">
        <f>"Valuation expectations too high"</f>
        <v>Valuation expectations too high</v>
      </c>
    </row>
    <row r="6">
      <c r="A6" s="1" t="str">
        <f>"WRC-2025-005"</f>
        <v>WRC-2025-005</v>
      </c>
      <c r="B6" s="1" t="str">
        <f>"TechGadget World"</f>
        <v>TechGadget World</v>
      </c>
      <c r="C6" s="1" t="str">
        <f>"Proprietary"</f>
        <v>Proprietary</v>
      </c>
      <c r="D6" s="1" t="str">
        <f>"Board Connection"</f>
        <v>Board Connection</v>
      </c>
      <c r="E6" s="1" t="str">
        <f>"Lisa Park"</f>
        <v>Lisa Park</v>
      </c>
      <c r="F6" s="1" t="str">
        <f>"2025-02-20"</f>
        <v>2025-02-20</v>
      </c>
      <c r="G6" s="1" t="str">
        <f>"NDA Executed"</f>
        <v>NDA Executed</v>
      </c>
      <c r="H6" s="1" t="str">
        <f>"Medium"</f>
        <v>Medium</v>
      </c>
      <c r="I6" s="1" t="str">
        <f t="shared" ref="I6:I7" si="3">"Michael Rodriguez"</f>
        <v>Michael Rodriguez</v>
      </c>
      <c r="J6" s="1" t="str">
        <f>"2025-04-18"</f>
        <v>2025-04-18</v>
      </c>
      <c r="K6" s="1" t="str">
        <f>"Review data room materials"</f>
        <v>Review data room materials</v>
      </c>
      <c r="L6" s="1" t="str">
        <f>"2025-08-10"</f>
        <v>2025-08-10</v>
      </c>
      <c r="M6" s="1" t="str">
        <f t="shared" si="2"/>
        <v>No</v>
      </c>
      <c r="N6" s="1" t="str">
        <f>"$160-175M"</f>
        <v>$160-175M</v>
      </c>
      <c r="O6" s="1" t="str">
        <f>"Margin improvement, B2B expansion strategy"</f>
        <v>Margin improvement, B2B expansion strategy</v>
      </c>
      <c r="P6" s="1" t="str">
        <f>"Vertex Capital; TechFund"</f>
        <v>Vertex Capital; TechFund</v>
      </c>
      <c r="Q6" s="1" t="str">
        <f>"Facing increased competition; need to assess margin sustainability"</f>
        <v>Facing increased competition; need to assess margin sustainability</v>
      </c>
    </row>
    <row r="7">
      <c r="A7" s="1" t="str">
        <f>"WRC-2025-006"</f>
        <v>WRC-2025-006</v>
      </c>
      <c r="B7" s="1" t="str">
        <f>"Coastal Outfitters"</f>
        <v>Coastal Outfitters</v>
      </c>
      <c r="C7" s="1" t="str">
        <f>"Broker"</f>
        <v>Broker</v>
      </c>
      <c r="D7" s="1" t="str">
        <f>"Piper Sandler"</f>
        <v>Piper Sandler</v>
      </c>
      <c r="E7" s="1" t="str">
        <f>"James Miller"</f>
        <v>James Miller</v>
      </c>
      <c r="F7" s="1" t="str">
        <f>"2025-02-28"</f>
        <v>2025-02-28</v>
      </c>
      <c r="G7" s="1" t="str">
        <f>"Financial Analysis"</f>
        <v>Financial Analysis</v>
      </c>
      <c r="H7" s="1" t="str">
        <f>"High"</f>
        <v>High</v>
      </c>
      <c r="I7" s="1" t="str">
        <f t="shared" si="3"/>
        <v>Michael Rodriguez</v>
      </c>
      <c r="J7" s="1" t="str">
        <f>"2025-04-23"</f>
        <v>2025-04-23</v>
      </c>
      <c r="K7" s="1" t="str">
        <f>"Build preliminary LBO model"</f>
        <v>Build preliminary LBO model</v>
      </c>
      <c r="L7" s="1" t="str">
        <f>"2025-07-01"</f>
        <v>2025-07-01</v>
      </c>
      <c r="M7" s="1" t="str">
        <f t="shared" si="2"/>
        <v>No</v>
      </c>
      <c r="N7" s="1" t="str">
        <f>"$70-80M"</f>
        <v>$70-80M</v>
      </c>
      <c r="O7" s="1" t="str">
        <f>"Store optimization, e-commerce enhancement"</f>
        <v>Store optimization, e-commerce enhancement</v>
      </c>
      <c r="P7" s="1" t="str">
        <f>"Outdoor Ventures"</f>
        <v>Outdoor Ventures</v>
      </c>
      <c r="Q7" s="1" t="str">
        <f>"Good strategic fit with outdoor portfolio thesis"</f>
        <v>Good strategic fit with outdoor portfolio thesis</v>
      </c>
    </row>
    <row r="8">
      <c r="A8" s="1" t="str">
        <f>"WRC-2025-007"</f>
        <v>WRC-2025-007</v>
      </c>
      <c r="B8" s="1" t="str">
        <f>"Heritage Furniture Co."</f>
        <v>Heritage Furniture Co.</v>
      </c>
      <c r="C8" s="1" t="str">
        <f>"Industry Contact"</f>
        <v>Industry Contact</v>
      </c>
      <c r="D8" s="1" t="str">
        <f>"Former CEO"</f>
        <v>Former CEO</v>
      </c>
      <c r="E8" s="1" t="str">
        <f>"William Jones"</f>
        <v>William Jones</v>
      </c>
      <c r="F8" s="1" t="str">
        <f>"2025-03-05"</f>
        <v>2025-03-05</v>
      </c>
      <c r="G8" s="1" t="str">
        <f>"Initial Outreach"</f>
        <v>Initial Outreach</v>
      </c>
      <c r="H8" s="1" t="str">
        <f t="shared" ref="H8:H10" si="4">"Medium"</f>
        <v>Medium</v>
      </c>
      <c r="I8" s="1" t="str">
        <f>"Jennifer Davis"</f>
        <v>Jennifer Davis</v>
      </c>
      <c r="J8" s="1" t="str">
        <f>"2025-04-10"</f>
        <v>2025-04-10</v>
      </c>
      <c r="K8" s="1" t="str">
        <f>"Schedule initial meeting"</f>
        <v>Schedule initial meeting</v>
      </c>
      <c r="L8" s="1" t="str">
        <f>"2025-08-30"</f>
        <v>2025-08-30</v>
      </c>
      <c r="M8" s="1" t="str">
        <f t="shared" si="2"/>
        <v>No</v>
      </c>
      <c r="N8" s="1" t="str">
        <f>"$50-60M"</f>
        <v>$50-60M</v>
      </c>
      <c r="O8" s="1" t="str">
        <f>"Operational improvement, e-commerce development"</f>
        <v>Operational improvement, e-commerce development</v>
      </c>
      <c r="P8" s="1" t="str">
        <f>"Legacy Partners"</f>
        <v>Legacy Partners</v>
      </c>
      <c r="Q8" s="1" t="str">
        <f>"Family succession issues; real estate portfolio analysis needed"</f>
        <v>Family succession issues; real estate portfolio analysis needed</v>
      </c>
    </row>
    <row r="9">
      <c r="A9" s="1" t="str">
        <f>"WRC-2025-008"</f>
        <v>WRC-2025-008</v>
      </c>
      <c r="B9" s="1" t="str">
        <f>"StyleNow Apparel"</f>
        <v>StyleNow Apparel</v>
      </c>
      <c r="C9" s="1" t="str">
        <f>"Investment Bank"</f>
        <v>Investment Bank</v>
      </c>
      <c r="D9" s="1" t="str">
        <f>"JP Morgan"</f>
        <v>JP Morgan</v>
      </c>
      <c r="E9" s="1" t="str">
        <f>"Emma Chen"</f>
        <v>Emma Chen</v>
      </c>
      <c r="F9" s="1" t="str">
        <f>"2025-03-10"</f>
        <v>2025-03-10</v>
      </c>
      <c r="G9" s="1" t="str">
        <f>"Management Meeting"</f>
        <v>Management Meeting</v>
      </c>
      <c r="H9" s="1" t="str">
        <f t="shared" si="4"/>
        <v>Medium</v>
      </c>
      <c r="I9" s="1" t="str">
        <f>"Alex Thompson"</f>
        <v>Alex Thompson</v>
      </c>
      <c r="J9" s="1" t="str">
        <f>"2025-04-12"</f>
        <v>2025-04-12</v>
      </c>
      <c r="K9" s="1" t="str">
        <f>"Complete competitive analysis"</f>
        <v>Complete competitive analysis</v>
      </c>
      <c r="L9" s="1" t="str">
        <f>"2025-07-20"</f>
        <v>2025-07-20</v>
      </c>
      <c r="M9" s="1" t="str">
        <f t="shared" si="2"/>
        <v>No</v>
      </c>
      <c r="N9" s="1" t="str">
        <f>"$110-125M"</f>
        <v>$110-125M</v>
      </c>
      <c r="O9" s="1" t="str">
        <f>"International expansion, supply chain optimization"</f>
        <v>International expansion, supply chain optimization</v>
      </c>
      <c r="P9" s="1" t="str">
        <f>"Fashion Ventures; Retail Growth Capital"</f>
        <v>Fashion Ventures; Retail Growth Capital</v>
      </c>
      <c r="Q9" s="1" t="str">
        <f>"High growth but with sustainability questions"</f>
        <v>High growth but with sustainability questions</v>
      </c>
    </row>
    <row r="10">
      <c r="A10" s="1" t="str">
        <f>"WRC-2025-009"</f>
        <v>WRC-2025-009</v>
      </c>
      <c r="B10" s="1" t="str">
        <f>"Culinary Essentials"</f>
        <v>Culinary Essentials</v>
      </c>
      <c r="C10" s="1" t="str">
        <f>"Broker"</f>
        <v>Broker</v>
      </c>
      <c r="D10" s="1" t="str">
        <f>"Lincoln International"</f>
        <v>Lincoln International</v>
      </c>
      <c r="E10" s="1" t="str">
        <f>"Robert Kim"</f>
        <v>Robert Kim</v>
      </c>
      <c r="F10" s="1" t="str">
        <f>"2025-03-15"</f>
        <v>2025-03-15</v>
      </c>
      <c r="G10" s="1" t="str">
        <f>"NDA Executed"</f>
        <v>NDA Executed</v>
      </c>
      <c r="H10" s="1" t="str">
        <f t="shared" si="4"/>
        <v>Medium</v>
      </c>
      <c r="I10" s="1" t="str">
        <f>"Michael Rodriguez"</f>
        <v>Michael Rodriguez</v>
      </c>
      <c r="J10" s="1" t="str">
        <f>"2025-04-08"</f>
        <v>2025-04-08</v>
      </c>
      <c r="K10" s="1" t="str">
        <f>"Review preliminary financials"</f>
        <v>Review preliminary financials</v>
      </c>
      <c r="L10" s="1" t="str">
        <f>"2025-08-15"</f>
        <v>2025-08-15</v>
      </c>
      <c r="M10" s="1" t="str">
        <f t="shared" si="2"/>
        <v>No</v>
      </c>
      <c r="N10" s="1" t="str">
        <f>"$50-60M"</f>
        <v>$50-60M</v>
      </c>
      <c r="O10" s="1" t="str">
        <f>"Brand extension, e-commerce acceleration"</f>
        <v>Brand extension, e-commerce acceleration</v>
      </c>
      <c r="P10" s="1" t="str">
        <f>"Kitchen Investors LLC"</f>
        <v>Kitchen Investors LLC</v>
      </c>
      <c r="Q10" s="1" t="str">
        <f>"Limited auction process with 4-5 potential bidders"</f>
        <v>Limited auction process with 4-5 potential bidders</v>
      </c>
    </row>
    <row r="11">
      <c r="A11" s="1" t="str">
        <f>"WRC-2025-010"</f>
        <v>WRC-2025-010</v>
      </c>
      <c r="B11" s="1" t="str">
        <f>"Kidz Corner"</f>
        <v>Kidz Corner</v>
      </c>
      <c r="C11" s="1" t="str">
        <f>"Proprietary"</f>
        <v>Proprietary</v>
      </c>
      <c r="D11" s="1" t="str">
        <f>"Industry Association"</f>
        <v>Industry Association</v>
      </c>
      <c r="E11" s="1" t="str">
        <f>"Rebecca Johnson"</f>
        <v>Rebecca Johnson</v>
      </c>
      <c r="F11" s="1" t="str">
        <f>"2025-03-18"</f>
        <v>2025-03-18</v>
      </c>
      <c r="G11" s="1" t="str">
        <f>"Initial Outreach"</f>
        <v>Initial Outreach</v>
      </c>
      <c r="H11" s="1" t="str">
        <f>"Low"</f>
        <v>Low</v>
      </c>
      <c r="I11" s="1" t="str">
        <f>"Jennifer Davis"</f>
        <v>Jennifer Davis</v>
      </c>
      <c r="J11" s="1" t="str">
        <f>"2025-04-05"</f>
        <v>2025-04-05</v>
      </c>
      <c r="K11" s="1" t="str">
        <f>"Schedule follow-up call"</f>
        <v>Schedule follow-up call</v>
      </c>
      <c r="L11" s="1" t="str">
        <f>"N/A"</f>
        <v>N/A</v>
      </c>
      <c r="M11" s="1" t="str">
        <f t="shared" si="2"/>
        <v>No</v>
      </c>
      <c r="N11" s="1" t="str">
        <f>"$35-45M"</f>
        <v>$35-45M</v>
      </c>
      <c r="O11" s="1" t="str">
        <f>"Geographic expansion, e-commerce development"</f>
        <v>Geographic expansion, e-commerce development</v>
      </c>
      <c r="P11" s="1" t="str">
        <f>"Family First Capital"</f>
        <v>Family First Capital</v>
      </c>
      <c r="Q11" s="1" t="str">
        <f>"Smaller than ideal target size but potential platform"</f>
        <v>Smaller than ideal target size but potential platform</v>
      </c>
    </row>
    <row r="12">
      <c r="A12" s="1" t="str">
        <f>"WRC-2025-011"</f>
        <v>WRC-2025-011</v>
      </c>
      <c r="B12" s="1" t="str">
        <f>"Wellness Direct"</f>
        <v>Wellness Direct</v>
      </c>
      <c r="C12" s="1" t="str">
        <f>"Investment Bank"</f>
        <v>Investment Bank</v>
      </c>
      <c r="D12" s="1" t="str">
        <f>"Baird"</f>
        <v>Baird</v>
      </c>
      <c r="E12" s="1" t="str">
        <f>"Thomas Martinez"</f>
        <v>Thomas Martinez</v>
      </c>
      <c r="F12" s="1" t="str">
        <f>"2025-03-22"</f>
        <v>2025-03-22</v>
      </c>
      <c r="G12" s="1" t="str">
        <f>"Management Meeting"</f>
        <v>Management Meeting</v>
      </c>
      <c r="H12" s="1" t="str">
        <f>"High"</f>
        <v>High</v>
      </c>
      <c r="I12" s="1" t="str">
        <f>"Alex Thompson"</f>
        <v>Alex Thompson</v>
      </c>
      <c r="J12" s="1" t="str">
        <f>"2025-04-22"</f>
        <v>2025-04-22</v>
      </c>
      <c r="K12" s="1" t="str">
        <f>"Complete customer analysis"</f>
        <v>Complete customer analysis</v>
      </c>
      <c r="L12" s="1" t="str">
        <f>"2025-06-25"</f>
        <v>2025-06-25</v>
      </c>
      <c r="M12" s="1" t="str">
        <f t="shared" si="2"/>
        <v>No</v>
      </c>
      <c r="N12" s="1" t="str">
        <f>"$85-100M"</f>
        <v>$85-100M</v>
      </c>
      <c r="O12" s="1" t="str">
        <f>"Omnichannel integration, product line expansion"</f>
        <v>Omnichannel integration, product line expansion</v>
      </c>
      <c r="P12" s="1" t="str">
        <f>"Healthy Living Partners; Vitality Ventures"</f>
        <v>Healthy Living Partners; Vitality Ventures</v>
      </c>
      <c r="Q12" s="1" t="str">
        <f>"Growing category with strong tailwinds"</f>
        <v>Growing category with strong tailwinds</v>
      </c>
    </row>
    <row r="13">
      <c r="A13" s="1" t="str">
        <f>"WRC-2025-012"</f>
        <v>WRC-2025-012</v>
      </c>
      <c r="B13" s="1" t="str">
        <f>"Countryside Pets"</f>
        <v>Countryside Pets</v>
      </c>
      <c r="C13" s="1" t="str">
        <f>"Broker"</f>
        <v>Broker</v>
      </c>
      <c r="D13" s="1" t="str">
        <f>"Raymond James"</f>
        <v>Raymond James</v>
      </c>
      <c r="E13" s="1" t="str">
        <f>"Emily Taylor"</f>
        <v>Emily Taylor</v>
      </c>
      <c r="F13" s="1" t="str">
        <f>"2025-03-25"</f>
        <v>2025-03-25</v>
      </c>
      <c r="G13" s="1" t="str">
        <f>"Initial Outreach"</f>
        <v>Initial Outreach</v>
      </c>
      <c r="H13" s="1" t="str">
        <f>"Medium"</f>
        <v>Medium</v>
      </c>
      <c r="I13" s="1" t="str">
        <f>"Michael Rodriguez"</f>
        <v>Michael Rodriguez</v>
      </c>
      <c r="J13" s="1" t="str">
        <f>"2025-04-16"</f>
        <v>2025-04-16</v>
      </c>
      <c r="K13" s="1" t="str">
        <f>"Schedule management call"</f>
        <v>Schedule management call</v>
      </c>
      <c r="L13" s="1" t="str">
        <f>"2025-08-01"</f>
        <v>2025-08-01</v>
      </c>
      <c r="M13" s="1" t="str">
        <f t="shared" si="2"/>
        <v>No</v>
      </c>
      <c r="N13" s="1" t="str">
        <f>"$70-85M"</f>
        <v>$70-85M</v>
      </c>
      <c r="O13" s="1" t="str">
        <f>"Services expansion, digital transformation"</f>
        <v>Services expansion, digital transformation</v>
      </c>
      <c r="P13" s="1" t="str">
        <f>"Pet Industry Capital"</f>
        <v>Pet Industry Capital</v>
      </c>
      <c r="Q13" s="1" t="str">
        <f>"Potential consolidation play in fragmented market"</f>
        <v>Potential consolidation play in fragmented market</v>
      </c>
    </row>
    <row r="14">
      <c r="A14" s="1" t="str">
        <f>"WRC-2025-013"</f>
        <v>WRC-2025-013</v>
      </c>
      <c r="B14" s="1" t="str">
        <f>"Modern Home Solutions"</f>
        <v>Modern Home Solutions</v>
      </c>
      <c r="C14" s="1" t="str">
        <f>"Proprietary"</f>
        <v>Proprietary</v>
      </c>
      <c r="D14" s="1" t="str">
        <f>"Former Portfolio Company"</f>
        <v>Former Portfolio Company</v>
      </c>
      <c r="E14" s="1" t="str">
        <f>"Richard Adams"</f>
        <v>Richard Adams</v>
      </c>
      <c r="F14" s="1" t="str">
        <f>"2025-03-30"</f>
        <v>2025-03-30</v>
      </c>
      <c r="G14" s="1" t="str">
        <f>"Preliminary Diligence"</f>
        <v>Preliminary Diligence</v>
      </c>
      <c r="H14" s="1" t="str">
        <f>"High"</f>
        <v>High</v>
      </c>
      <c r="I14" s="1" t="str">
        <f>"Jennifer Davis"</f>
        <v>Jennifer Davis</v>
      </c>
      <c r="J14" s="1" t="str">
        <f>"2025-04-24"</f>
        <v>2025-04-24</v>
      </c>
      <c r="K14" s="1" t="str">
        <f>"Complete site visits"</f>
        <v>Complete site visits</v>
      </c>
      <c r="L14" s="1" t="str">
        <f>"2025-07-10"</f>
        <v>2025-07-10</v>
      </c>
      <c r="M14" s="1" t="str">
        <f t="shared" si="2"/>
        <v>No</v>
      </c>
      <c r="N14" s="1" t="str">
        <f>"$125-140M"</f>
        <v>$125-140M</v>
      </c>
      <c r="O14" s="1" t="str">
        <f>"Operational efficiency, e-commerce development"</f>
        <v>Operational efficiency, e-commerce development</v>
      </c>
      <c r="P14" s="1" t="str">
        <f>"BuildOut Capital; HomeBase Partners"</f>
        <v>BuildOut Capital; HomeBase Partners</v>
      </c>
      <c r="Q14" s="1" t="str">
        <f>"Strong contractor division with expansion potential"</f>
        <v>Strong contractor division with expansion potential</v>
      </c>
    </row>
    <row r="15">
      <c r="A15" s="1" t="str">
        <f>"WRC-2025-014"</f>
        <v>WRC-2025-014</v>
      </c>
      <c r="B15" s="1" t="str">
        <f>"Elite Footwear"</f>
        <v>Elite Footwear</v>
      </c>
      <c r="C15" s="1" t="str">
        <f>"Investment Bank"</f>
        <v>Investment Bank</v>
      </c>
      <c r="D15" s="1" t="str">
        <f>"William Blair"</f>
        <v>William Blair</v>
      </c>
      <c r="E15" s="1" t="str">
        <f>"Maria Rodriguez"</f>
        <v>Maria Rodriguez</v>
      </c>
      <c r="F15" s="1" t="str">
        <f>"2025-04-02"</f>
        <v>2025-04-02</v>
      </c>
      <c r="G15" s="1" t="str">
        <f>"NDA Executed"</f>
        <v>NDA Executed</v>
      </c>
      <c r="H15" s="1" t="str">
        <f>"Medium"</f>
        <v>Medium</v>
      </c>
      <c r="I15" s="1" t="str">
        <f>"Alex Thompson"</f>
        <v>Alex Thompson</v>
      </c>
      <c r="J15" s="1" t="str">
        <f>"2025-04-19"</f>
        <v>2025-04-19</v>
      </c>
      <c r="K15" s="1" t="str">
        <f>"Review data room materials"</f>
        <v>Review data room materials</v>
      </c>
      <c r="L15" s="1" t="str">
        <f>"2025-08-20"</f>
        <v>2025-08-20</v>
      </c>
      <c r="M15" s="1" t="str">
        <f t="shared" si="2"/>
        <v>No</v>
      </c>
      <c r="N15" s="1" t="str">
        <f>"$75-90M"</f>
        <v>$75-90M</v>
      </c>
      <c r="O15" s="1" t="str">
        <f>"DTC expansion, international growth"</f>
        <v>DTC expansion, international growth</v>
      </c>
      <c r="P15" s="1" t="str">
        <f>"Footwear Ventures"</f>
        <v>Footwear Ventures</v>
      </c>
      <c r="Q15" s="1" t="str">
        <f>"Premium positioning with strong brand equity"</f>
        <v>Premium positioning with strong brand equity</v>
      </c>
    </row>
    <row r="16">
      <c r="A16" s="1" t="str">
        <f>"WRC-2025-015"</f>
        <v>WRC-2025-015</v>
      </c>
      <c r="B16" s="1" t="str">
        <f>"Gourmet Market"</f>
        <v>Gourmet Market</v>
      </c>
      <c r="C16" s="1" t="str">
        <f>"Proprietary"</f>
        <v>Proprietary</v>
      </c>
      <c r="D16" s="1" t="str">
        <f>"Board Connection"</f>
        <v>Board Connection</v>
      </c>
      <c r="E16" s="1" t="str">
        <f>"Elizabeth Wong"</f>
        <v>Elizabeth Wong</v>
      </c>
      <c r="F16" s="1" t="str">
        <f>"2025-04-05"</f>
        <v>2025-04-05</v>
      </c>
      <c r="G16" s="1" t="str">
        <f t="shared" ref="G16:G17" si="5">"Initial Outreach"</f>
        <v>Initial Outreach</v>
      </c>
      <c r="H16" s="1" t="str">
        <f t="shared" ref="H16:H17" si="6">"Low"</f>
        <v>Low</v>
      </c>
      <c r="I16" s="1" t="str">
        <f>"Michael Rodriguez"</f>
        <v>Michael Rodriguez</v>
      </c>
      <c r="J16" s="1" t="str">
        <f>"2025-04-20"</f>
        <v>2025-04-20</v>
      </c>
      <c r="K16" s="1" t="str">
        <f>"Schedule initial meeting"</f>
        <v>Schedule initial meeting</v>
      </c>
      <c r="L16" s="1" t="str">
        <f t="shared" ref="L16:L17" si="7">"N/A"</f>
        <v>N/A</v>
      </c>
      <c r="M16" s="1" t="str">
        <f t="shared" si="2"/>
        <v>No</v>
      </c>
      <c r="N16" s="1" t="str">
        <f>"$70-80M"</f>
        <v>$70-80M</v>
      </c>
      <c r="O16" s="1" t="str">
        <f>"Private label expansion, e-commerce development"</f>
        <v>Private label expansion, e-commerce development</v>
      </c>
      <c r="P16" s="1" t="str">
        <f>"Specialty Food Partners"</f>
        <v>Specialty Food Partners</v>
      </c>
      <c r="Q16" s="1" t="str">
        <f>"Real estate holdings a significant portion of value"</f>
        <v>Real estate holdings a significant portion of value</v>
      </c>
    </row>
    <row r="17">
      <c r="A17" s="1" t="str">
        <f>"WRC-2025-016"</f>
        <v>WRC-2025-016</v>
      </c>
      <c r="B17" s="1" t="str">
        <f>"BookHaven Plus"</f>
        <v>BookHaven Plus</v>
      </c>
      <c r="C17" s="1" t="str">
        <f>"Broker"</f>
        <v>Broker</v>
      </c>
      <c r="D17" s="1" t="str">
        <f>"Houlihan Lokey"</f>
        <v>Houlihan Lokey</v>
      </c>
      <c r="E17" s="1" t="str">
        <f>"Daniel Brown"</f>
        <v>Daniel Brown</v>
      </c>
      <c r="F17" s="1" t="str">
        <f>"2025-04-08"</f>
        <v>2025-04-08</v>
      </c>
      <c r="G17" s="1" t="str">
        <f t="shared" si="5"/>
        <v>Initial Outreach</v>
      </c>
      <c r="H17" s="1" t="str">
        <f t="shared" si="6"/>
        <v>Low</v>
      </c>
      <c r="I17" s="1" t="str">
        <f>"Jennifer Davis"</f>
        <v>Jennifer Davis</v>
      </c>
      <c r="J17" s="1" t="str">
        <f>"2025-04-21"</f>
        <v>2025-04-21</v>
      </c>
      <c r="K17" s="1" t="str">
        <f>"Schedule follow-up call"</f>
        <v>Schedule follow-up call</v>
      </c>
      <c r="L17" s="1" t="str">
        <f t="shared" si="7"/>
        <v>N/A</v>
      </c>
      <c r="M17" s="1" t="str">
        <f t="shared" si="2"/>
        <v>No</v>
      </c>
      <c r="N17" s="1" t="str">
        <f>"$30-40M"</f>
        <v>$30-40M</v>
      </c>
      <c r="O17" s="1" t="str">
        <f>"Digital transformation, cafe expansion"</f>
        <v>Digital transformation, cafe expansion</v>
      </c>
      <c r="P17" s="1" t="str">
        <f>"Media Ventures"</f>
        <v>Media Ventures</v>
      </c>
      <c r="Q17" s="1" t="str">
        <f>"Challenging industry but potential real estate value"</f>
        <v>Challenging industry but potential real estate value</v>
      </c>
    </row>
    <row r="18">
      <c r="A18" s="1" t="str">
        <f>"WRC-2025-017"</f>
        <v>WRC-2025-017</v>
      </c>
      <c r="B18" s="1" t="str">
        <f>"OutdoorLife Direct"</f>
        <v>OutdoorLife Direct</v>
      </c>
      <c r="C18" s="1" t="str">
        <f>"Investment Bank"</f>
        <v>Investment Bank</v>
      </c>
      <c r="D18" s="1" t="str">
        <f>"Jefferies"</f>
        <v>Jefferies</v>
      </c>
      <c r="E18" s="1" t="str">
        <f>"Nicole Carter"</f>
        <v>Nicole Carter</v>
      </c>
      <c r="F18" s="1" t="str">
        <f>"2025-04-10"</f>
        <v>2025-04-10</v>
      </c>
      <c r="G18" s="1" t="str">
        <f>"Management Meeting"</f>
        <v>Management Meeting</v>
      </c>
      <c r="H18" s="1" t="str">
        <f t="shared" ref="H18:H19" si="8">"Medium"</f>
        <v>Medium</v>
      </c>
      <c r="I18" s="1" t="str">
        <f>"Alex Thompson"</f>
        <v>Alex Thompson</v>
      </c>
      <c r="J18" s="1" t="str">
        <f>"2025-04-17"</f>
        <v>2025-04-17</v>
      </c>
      <c r="K18" s="1" t="str">
        <f>"Complete preliminary valuation"</f>
        <v>Complete preliminary valuation</v>
      </c>
      <c r="L18" s="1" t="str">
        <f>"2025-07-30"</f>
        <v>2025-07-30</v>
      </c>
      <c r="M18" s="1" t="str">
        <f t="shared" si="2"/>
        <v>No</v>
      </c>
      <c r="N18" s="1" t="str">
        <f>"$140-160M"</f>
        <v>$140-160M</v>
      </c>
      <c r="O18" s="1" t="str">
        <f>"Omnichannel integration, product expansion"</f>
        <v>Omnichannel integration, product expansion</v>
      </c>
      <c r="P18" s="1" t="str">
        <f>"Mountain Capital; Outdoor Equity"</f>
        <v>Mountain Capital; Outdoor Equity</v>
      </c>
      <c r="Q18" s="1" t="str">
        <f>"Potential synergies with existing outdoor portfolio companies"</f>
        <v>Potential synergies with existing outdoor portfolio companies</v>
      </c>
    </row>
    <row r="19">
      <c r="A19" s="1" t="str">
        <f>"WRC-2025-018"</f>
        <v>WRC-2025-018</v>
      </c>
      <c r="B19" s="1" t="str">
        <f>"ValueMart Retail"</f>
        <v>ValueMart Retail</v>
      </c>
      <c r="C19" s="1" t="str">
        <f>"Proprietary"</f>
        <v>Proprietary</v>
      </c>
      <c r="D19" s="1" t="str">
        <f>"Industry Conference"</f>
        <v>Industry Conference</v>
      </c>
      <c r="E19" s="1" t="str">
        <f>"Jeffrey Williams"</f>
        <v>Jeffrey Williams</v>
      </c>
      <c r="F19" s="1" t="str">
        <f>"2025-04-12"</f>
        <v>2025-04-12</v>
      </c>
      <c r="G19" s="1" t="str">
        <f>"Initial Outreach"</f>
        <v>Initial Outreach</v>
      </c>
      <c r="H19" s="1" t="str">
        <f t="shared" si="8"/>
        <v>Medium</v>
      </c>
      <c r="I19" s="1" t="str">
        <f>"Michael Rodriguez"</f>
        <v>Michael Rodriguez</v>
      </c>
      <c r="J19" s="1" t="str">
        <f>"2025-04-22"</f>
        <v>2025-04-22</v>
      </c>
      <c r="K19" s="1" t="str">
        <f>"Schedule management meeting"</f>
        <v>Schedule management meeting</v>
      </c>
      <c r="L19" s="1" t="str">
        <f>"2025-08-25"</f>
        <v>2025-08-25</v>
      </c>
      <c r="M19" s="1" t="str">
        <f t="shared" si="2"/>
        <v>No</v>
      </c>
      <c r="N19" s="1" t="str">
        <f>"$130-150M"</f>
        <v>$130-150M</v>
      </c>
      <c r="O19" s="1" t="str">
        <f>"Store optimization, operational efficiency"</f>
        <v>Store optimization, operational efficiency</v>
      </c>
      <c r="P19" s="1" t="str">
        <f>"Discount Retail Investors"</f>
        <v>Discount Retail Investors</v>
      </c>
      <c r="Q19" s="1" t="str">
        <f>"Real estate rationalization opportunity"</f>
        <v>Real estate rationalization opportunity</v>
      </c>
    </row>
    <row r="20">
      <c r="A20" s="1" t="str">
        <f>"WRC-2025-019"</f>
        <v>WRC-2025-019</v>
      </c>
      <c r="B20" s="1" t="str">
        <f>"LuxeDecor Interiors"</f>
        <v>LuxeDecor Interiors</v>
      </c>
      <c r="C20" s="1" t="str">
        <f>"Broker"</f>
        <v>Broker</v>
      </c>
      <c r="D20" s="1" t="str">
        <f>"Robert W. Baird"</f>
        <v>Robert W. Baird</v>
      </c>
      <c r="E20" s="1" t="str">
        <f>"Amanda Chen"</f>
        <v>Amanda Chen</v>
      </c>
      <c r="F20" s="1" t="str">
        <f>"2025-04-15"</f>
        <v>2025-04-15</v>
      </c>
      <c r="G20" s="1" t="str">
        <f>"NDA Executed"</f>
        <v>NDA Executed</v>
      </c>
      <c r="H20" s="1" t="str">
        <f t="shared" ref="H20:H21" si="9">"High"</f>
        <v>High</v>
      </c>
      <c r="I20" s="1" t="str">
        <f>"Jennifer Davis"</f>
        <v>Jennifer Davis</v>
      </c>
      <c r="J20" s="1" t="str">
        <f>"2025-04-24"</f>
        <v>2025-04-24</v>
      </c>
      <c r="K20" s="1" t="str">
        <f>"Review preliminary financials"</f>
        <v>Review preliminary financials</v>
      </c>
      <c r="L20" s="1" t="str">
        <f>"2025-07-05"</f>
        <v>2025-07-05</v>
      </c>
      <c r="M20" s="1" t="str">
        <f t="shared" si="2"/>
        <v>No</v>
      </c>
      <c r="N20" s="1" t="str">
        <f>"$60-70M"</f>
        <v>$60-70M</v>
      </c>
      <c r="O20" s="1" t="str">
        <f>"Geographic expansion, design services growth"</f>
        <v>Geographic expansion, design services growth</v>
      </c>
      <c r="P20" s="1" t="str">
        <f>"Interior Design Capital"</f>
        <v>Interior Design Capital</v>
      </c>
      <c r="Q20" s="1" t="str">
        <f>"Strong digital presence and high-end customer base"</f>
        <v>Strong digital presence and high-end customer base</v>
      </c>
    </row>
    <row r="21">
      <c r="A21" s="1" t="str">
        <f>"WRC-2025-020"</f>
        <v>WRC-2025-020</v>
      </c>
      <c r="B21" s="1" t="str">
        <f>"FitLife Equipment"</f>
        <v>FitLife Equipment</v>
      </c>
      <c r="C21" s="1" t="str">
        <f>"Investment Bank"</f>
        <v>Investment Bank</v>
      </c>
      <c r="D21" s="1" t="str">
        <f>"Solomon Partners"</f>
        <v>Solomon Partners</v>
      </c>
      <c r="E21" s="1" t="str">
        <f>"Mark Johnson"</f>
        <v>Mark Johnson</v>
      </c>
      <c r="F21" s="1" t="str">
        <f>"2025-04-18"</f>
        <v>2025-04-18</v>
      </c>
      <c r="G21" s="1" t="str">
        <f>"Preliminary Diligence"</f>
        <v>Preliminary Diligence</v>
      </c>
      <c r="H21" s="1" t="str">
        <f t="shared" si="9"/>
        <v>High</v>
      </c>
      <c r="I21" s="1" t="str">
        <f>"Alex Thompson"</f>
        <v>Alex Thompson</v>
      </c>
      <c r="J21" s="1" t="str">
        <f>"2025-04-26"</f>
        <v>2025-04-26</v>
      </c>
      <c r="K21" s="1" t="str">
        <f>"Build preliminary LBO model"</f>
        <v>Build preliminary LBO model</v>
      </c>
      <c r="L21" s="1" t="str">
        <f>"2025-06-20"</f>
        <v>2025-06-20</v>
      </c>
      <c r="M21" s="1" t="str">
        <f t="shared" si="2"/>
        <v>No</v>
      </c>
      <c r="N21" s="1" t="str">
        <f>"$75-85M"</f>
        <v>$75-85M</v>
      </c>
      <c r="O21" s="1" t="str">
        <f>"DTC expansion, subscription service growth"</f>
        <v>DTC expansion, subscription service growth</v>
      </c>
      <c r="P21" s="1" t="str">
        <f>"Fitness Partners; Active Capital"</f>
        <v>Fitness Partners; Active Capital</v>
      </c>
      <c r="Q21" s="1" t="str">
        <f>"Fast-growing segment with recurring revenue potential"</f>
        <v>Fast-growing segment with recurring revenue potential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"Item"</f>
        <v>Item</v>
      </c>
      <c r="B1" s="1" t="str">
        <f>"2022_Q1"</f>
        <v>2022_Q1</v>
      </c>
      <c r="C1" s="1" t="str">
        <f>"2022_Q2"</f>
        <v>2022_Q2</v>
      </c>
      <c r="D1" s="1" t="str">
        <f>"2022_Q3"</f>
        <v>2022_Q3</v>
      </c>
      <c r="E1" s="1" t="str">
        <f>"2022_Q4"</f>
        <v>2022_Q4</v>
      </c>
      <c r="F1" s="1" t="str">
        <f>"2023_Q1"</f>
        <v>2023_Q1</v>
      </c>
      <c r="G1" s="1" t="str">
        <f>"2023_Q2"</f>
        <v>2023_Q2</v>
      </c>
      <c r="H1" s="1" t="str">
        <f>"2023_Q3"</f>
        <v>2023_Q3</v>
      </c>
      <c r="I1" s="1" t="str">
        <f>"2023_Q4"</f>
        <v>2023_Q4</v>
      </c>
      <c r="J1" s="1" t="str">
        <f>"2024_Q1"</f>
        <v>2024_Q1</v>
      </c>
      <c r="K1" s="1" t="str">
        <f>"2024_Q2"</f>
        <v>2024_Q2</v>
      </c>
      <c r="L1" s="1" t="str">
        <f>"2024_Q3"</f>
        <v>2024_Q3</v>
      </c>
      <c r="M1" s="1" t="str">
        <f>"2024_Q4"</f>
        <v>2024_Q4</v>
      </c>
      <c r="N1" s="1" t="str">
        <f>"2025_Q1_LTM"</f>
        <v>2025_Q1_LTM</v>
      </c>
    </row>
    <row r="2">
      <c r="A2" s="1" t="str">
        <f>"Revenue"</f>
        <v>Revenue</v>
      </c>
      <c r="B2" s="1" t="str">
        <f>"18.2"</f>
        <v>18.2</v>
      </c>
      <c r="C2" s="1" t="str">
        <f>"18.8"</f>
        <v>18.8</v>
      </c>
      <c r="D2" s="1" t="str">
        <f t="shared" ref="D2:E2" si="1">"19.3"</f>
        <v>19.3</v>
      </c>
      <c r="E2" s="1" t="str">
        <f t="shared" si="1"/>
        <v>19.3</v>
      </c>
      <c r="F2" s="1" t="str">
        <f>"19.8"</f>
        <v>19.8</v>
      </c>
      <c r="G2" s="1" t="str">
        <f>"20.5"</f>
        <v>20.5</v>
      </c>
      <c r="H2" s="1" t="str">
        <f>"21.1"</f>
        <v>21.1</v>
      </c>
      <c r="I2" s="1" t="str">
        <f>"20.9"</f>
        <v>20.9</v>
      </c>
      <c r="J2" s="1" t="str">
        <f>"21.5"</f>
        <v>21.5</v>
      </c>
      <c r="K2" s="1" t="str">
        <f>"21.9"</f>
        <v>21.9</v>
      </c>
      <c r="L2" s="1" t="str">
        <f>"22.2"</f>
        <v>22.2</v>
      </c>
      <c r="M2" s="1" t="str">
        <f>"22.3"</f>
        <v>22.3</v>
      </c>
      <c r="N2" s="1" t="str">
        <f>"22.7"</f>
        <v>22.7</v>
      </c>
    </row>
    <row r="3">
      <c r="A3" s="1" t="str">
        <f>"Cost of Goods Sold"</f>
        <v>Cost of Goods Sold</v>
      </c>
      <c r="B3" s="1" t="str">
        <f>"11.1"</f>
        <v>11.1</v>
      </c>
      <c r="C3" s="1" t="str">
        <f>"11.5"</f>
        <v>11.5</v>
      </c>
      <c r="D3" s="1" t="str">
        <f t="shared" ref="D3:E3" si="2">"11.8"</f>
        <v>11.8</v>
      </c>
      <c r="E3" s="1" t="str">
        <f t="shared" si="2"/>
        <v>11.8</v>
      </c>
      <c r="F3" s="1" t="str">
        <f>"12.1"</f>
        <v>12.1</v>
      </c>
      <c r="G3" s="1" t="str">
        <f>"12.6"</f>
        <v>12.6</v>
      </c>
      <c r="H3" s="1" t="str">
        <f>"13.0"</f>
        <v>13.0</v>
      </c>
      <c r="I3" s="1" t="str">
        <f>"12.8"</f>
        <v>12.8</v>
      </c>
      <c r="J3" s="1" t="str">
        <f>"13.2"</f>
        <v>13.2</v>
      </c>
      <c r="K3" s="1" t="str">
        <f>"13.4"</f>
        <v>13.4</v>
      </c>
      <c r="L3" s="1" t="str">
        <f>"13.6"</f>
        <v>13.6</v>
      </c>
      <c r="M3" s="1" t="str">
        <f>"13.7"</f>
        <v>13.7</v>
      </c>
      <c r="N3" s="1" t="str">
        <f>"13.9"</f>
        <v>13.9</v>
      </c>
    </row>
    <row r="4">
      <c r="A4" s="1" t="str">
        <f>"Gross Profit"</f>
        <v>Gross Profit</v>
      </c>
      <c r="B4" s="1" t="str">
        <f>"7.1"</f>
        <v>7.1</v>
      </c>
      <c r="C4" s="1" t="str">
        <f>"7.3"</f>
        <v>7.3</v>
      </c>
      <c r="D4" s="1" t="str">
        <f t="shared" ref="D4:E4" si="3">"7.5"</f>
        <v>7.5</v>
      </c>
      <c r="E4" s="1" t="str">
        <f t="shared" si="3"/>
        <v>7.5</v>
      </c>
      <c r="F4" s="1" t="str">
        <f>"7.7"</f>
        <v>7.7</v>
      </c>
      <c r="G4" s="1" t="str">
        <f>"7.9"</f>
        <v>7.9</v>
      </c>
      <c r="H4" s="1" t="str">
        <f t="shared" ref="H4:I4" si="4">"8.1"</f>
        <v>8.1</v>
      </c>
      <c r="I4" s="1" t="str">
        <f t="shared" si="4"/>
        <v>8.1</v>
      </c>
      <c r="J4" s="1" t="str">
        <f>"8.3"</f>
        <v>8.3</v>
      </c>
      <c r="K4" s="1" t="str">
        <f>"8.5"</f>
        <v>8.5</v>
      </c>
      <c r="L4" s="1" t="str">
        <f t="shared" ref="L4:M4" si="5">"8.6"</f>
        <v>8.6</v>
      </c>
      <c r="M4" s="1" t="str">
        <f t="shared" si="5"/>
        <v>8.6</v>
      </c>
      <c r="N4" s="1" t="str">
        <f>"8.8"</f>
        <v>8.8</v>
      </c>
    </row>
    <row r="5">
      <c r="A5" s="1" t="str">
        <f>"Gross Margin %"</f>
        <v>Gross Margin %</v>
      </c>
      <c r="B5" s="1" t="str">
        <f>"39.0%"</f>
        <v>39.0%</v>
      </c>
      <c r="C5" s="1" t="str">
        <f>"38.8%"</f>
        <v>38.8%</v>
      </c>
      <c r="D5" s="1" t="str">
        <f t="shared" ref="D5:F5" si="6">"38.9%"</f>
        <v>38.9%</v>
      </c>
      <c r="E5" s="1" t="str">
        <f t="shared" si="6"/>
        <v>38.9%</v>
      </c>
      <c r="F5" s="1" t="str">
        <f t="shared" si="6"/>
        <v>38.9%</v>
      </c>
      <c r="G5" s="1" t="str">
        <f>"38.5%"</f>
        <v>38.5%</v>
      </c>
      <c r="H5" s="1" t="str">
        <f>"38.4%"</f>
        <v>38.4%</v>
      </c>
      <c r="I5" s="1" t="str">
        <f>"38.8%"</f>
        <v>38.8%</v>
      </c>
      <c r="J5" s="1" t="str">
        <f>"38.6%"</f>
        <v>38.6%</v>
      </c>
      <c r="K5" s="1" t="str">
        <f>"38.8%"</f>
        <v>38.8%</v>
      </c>
      <c r="L5" s="1" t="str">
        <f>"38.7%"</f>
        <v>38.7%</v>
      </c>
      <c r="M5" s="1" t="str">
        <f>"38.6%"</f>
        <v>38.6%</v>
      </c>
      <c r="N5" s="1" t="str">
        <f>"38.8%"</f>
        <v>38.8%</v>
      </c>
    </row>
    <row r="6">
      <c r="A6" s="1" t="str">
        <f>"Store Operating Expenses"</f>
        <v>Store Operating Expenses</v>
      </c>
      <c r="B6" s="1" t="str">
        <f>"3.8"</f>
        <v>3.8</v>
      </c>
      <c r="C6" s="1" t="str">
        <f>"3.9"</f>
        <v>3.9</v>
      </c>
      <c r="D6" s="1" t="str">
        <f t="shared" ref="D6:E6" si="7">"4.0"</f>
        <v>4.0</v>
      </c>
      <c r="E6" s="1" t="str">
        <f t="shared" si="7"/>
        <v>4.0</v>
      </c>
      <c r="F6" s="1" t="str">
        <f>"4.1"</f>
        <v>4.1</v>
      </c>
      <c r="G6" s="1" t="str">
        <f>"4.2"</f>
        <v>4.2</v>
      </c>
      <c r="H6" s="1" t="str">
        <f t="shared" ref="H6:I6" si="8">"4.3"</f>
        <v>4.3</v>
      </c>
      <c r="I6" s="1" t="str">
        <f t="shared" si="8"/>
        <v>4.3</v>
      </c>
      <c r="J6" s="1" t="str">
        <f>"4.4"</f>
        <v>4.4</v>
      </c>
      <c r="K6" s="1" t="str">
        <f t="shared" ref="K6:M6" si="9">"4.5"</f>
        <v>4.5</v>
      </c>
      <c r="L6" s="1" t="str">
        <f t="shared" si="9"/>
        <v>4.5</v>
      </c>
      <c r="M6" s="1" t="str">
        <f t="shared" si="9"/>
        <v>4.5</v>
      </c>
      <c r="N6" s="1" t="str">
        <f>"4.6"</f>
        <v>4.6</v>
      </c>
    </row>
    <row r="7">
      <c r="A7" s="1" t="str">
        <f>"Distribution &amp; Logistics"</f>
        <v>Distribution &amp; Logistics</v>
      </c>
      <c r="B7" s="1" t="str">
        <f t="shared" ref="B7:C7" si="10">"0.9"</f>
        <v>0.9</v>
      </c>
      <c r="C7" s="1" t="str">
        <f t="shared" si="10"/>
        <v>0.9</v>
      </c>
      <c r="D7" s="1" t="str">
        <f t="shared" ref="D7:G7" si="11">"1.0"</f>
        <v>1.0</v>
      </c>
      <c r="E7" s="1" t="str">
        <f t="shared" si="11"/>
        <v>1.0</v>
      </c>
      <c r="F7" s="1" t="str">
        <f t="shared" si="11"/>
        <v>1.0</v>
      </c>
      <c r="G7" s="1" t="str">
        <f t="shared" si="11"/>
        <v>1.0</v>
      </c>
      <c r="H7" s="1" t="str">
        <f>"1.1"</f>
        <v>1.1</v>
      </c>
      <c r="I7" s="1" t="str">
        <f>"1.0"</f>
        <v>1.0</v>
      </c>
      <c r="J7" s="1" t="str">
        <f t="shared" ref="J7:N7" si="12">"1.1"</f>
        <v>1.1</v>
      </c>
      <c r="K7" s="1" t="str">
        <f t="shared" si="12"/>
        <v>1.1</v>
      </c>
      <c r="L7" s="1" t="str">
        <f t="shared" si="12"/>
        <v>1.1</v>
      </c>
      <c r="M7" s="1" t="str">
        <f t="shared" si="12"/>
        <v>1.1</v>
      </c>
      <c r="N7" s="1" t="str">
        <f t="shared" si="12"/>
        <v>1.1</v>
      </c>
    </row>
    <row r="8">
      <c r="A8" s="1" t="str">
        <f>"Marketing Expenses"</f>
        <v>Marketing Expenses</v>
      </c>
      <c r="B8" s="1" t="str">
        <f>"0.7"</f>
        <v>0.7</v>
      </c>
      <c r="C8" s="1" t="str">
        <f t="shared" ref="C8:I8" si="13">"0.8"</f>
        <v>0.8</v>
      </c>
      <c r="D8" s="1" t="str">
        <f t="shared" si="13"/>
        <v>0.8</v>
      </c>
      <c r="E8" s="1" t="str">
        <f t="shared" si="13"/>
        <v>0.8</v>
      </c>
      <c r="F8" s="1" t="str">
        <f t="shared" si="13"/>
        <v>0.8</v>
      </c>
      <c r="G8" s="1" t="str">
        <f t="shared" si="13"/>
        <v>0.8</v>
      </c>
      <c r="H8" s="1" t="str">
        <f t="shared" si="13"/>
        <v>0.8</v>
      </c>
      <c r="I8" s="1" t="str">
        <f t="shared" si="13"/>
        <v>0.8</v>
      </c>
      <c r="J8" s="1" t="str">
        <f t="shared" ref="J8:N8" si="14">"0.9"</f>
        <v>0.9</v>
      </c>
      <c r="K8" s="1" t="str">
        <f t="shared" si="14"/>
        <v>0.9</v>
      </c>
      <c r="L8" s="1" t="str">
        <f t="shared" si="14"/>
        <v>0.9</v>
      </c>
      <c r="M8" s="1" t="str">
        <f t="shared" si="14"/>
        <v>0.9</v>
      </c>
      <c r="N8" s="1" t="str">
        <f t="shared" si="14"/>
        <v>0.9</v>
      </c>
    </row>
    <row r="9">
      <c r="A9" s="1" t="str">
        <f>"G&amp;A Expenses"</f>
        <v>G&amp;A Expenses</v>
      </c>
      <c r="B9" s="1" t="str">
        <f t="shared" ref="B9:E9" si="15">"1.5"</f>
        <v>1.5</v>
      </c>
      <c r="C9" s="1" t="str">
        <f t="shared" si="15"/>
        <v>1.5</v>
      </c>
      <c r="D9" s="1" t="str">
        <f t="shared" si="15"/>
        <v>1.5</v>
      </c>
      <c r="E9" s="1" t="str">
        <f t="shared" si="15"/>
        <v>1.5</v>
      </c>
      <c r="F9" s="1" t="str">
        <f t="shared" ref="F9:I9" si="16">"1.6"</f>
        <v>1.6</v>
      </c>
      <c r="G9" s="1" t="str">
        <f t="shared" si="16"/>
        <v>1.6</v>
      </c>
      <c r="H9" s="1" t="str">
        <f t="shared" si="16"/>
        <v>1.6</v>
      </c>
      <c r="I9" s="1" t="str">
        <f t="shared" si="16"/>
        <v>1.6</v>
      </c>
      <c r="J9" s="1" t="str">
        <f t="shared" ref="J9:N9" si="17">"1.7"</f>
        <v>1.7</v>
      </c>
      <c r="K9" s="1" t="str">
        <f t="shared" si="17"/>
        <v>1.7</v>
      </c>
      <c r="L9" s="1" t="str">
        <f t="shared" si="17"/>
        <v>1.7</v>
      </c>
      <c r="M9" s="1" t="str">
        <f t="shared" si="17"/>
        <v>1.7</v>
      </c>
      <c r="N9" s="1" t="str">
        <f t="shared" si="17"/>
        <v>1.7</v>
      </c>
    </row>
    <row r="10">
      <c r="A10" s="1" t="str">
        <f>"Total Operating Expenses"</f>
        <v>Total Operating Expenses</v>
      </c>
      <c r="B10" s="1" t="str">
        <f>"6.9"</f>
        <v>6.9</v>
      </c>
      <c r="C10" s="1" t="str">
        <f>"7.1"</f>
        <v>7.1</v>
      </c>
      <c r="D10" s="1" t="str">
        <f t="shared" ref="D10:E10" si="18">"7.3"</f>
        <v>7.3</v>
      </c>
      <c r="E10" s="1" t="str">
        <f t="shared" si="18"/>
        <v>7.3</v>
      </c>
      <c r="F10" s="1" t="str">
        <f>"7.5"</f>
        <v>7.5</v>
      </c>
      <c r="G10" s="1" t="str">
        <f>"7.6"</f>
        <v>7.6</v>
      </c>
      <c r="H10" s="1" t="str">
        <f>"7.8"</f>
        <v>7.8</v>
      </c>
      <c r="I10" s="1" t="str">
        <f>"7.7"</f>
        <v>7.7</v>
      </c>
      <c r="J10" s="1" t="str">
        <f>"8.1"</f>
        <v>8.1</v>
      </c>
      <c r="K10" s="1" t="str">
        <f t="shared" ref="K10:M10" si="19">"8.2"</f>
        <v>8.2</v>
      </c>
      <c r="L10" s="1" t="str">
        <f t="shared" si="19"/>
        <v>8.2</v>
      </c>
      <c r="M10" s="1" t="str">
        <f t="shared" si="19"/>
        <v>8.2</v>
      </c>
      <c r="N10" s="1" t="str">
        <f>"8.3"</f>
        <v>8.3</v>
      </c>
    </row>
    <row r="11">
      <c r="A11" s="1" t="str">
        <f>"EBITDA"</f>
        <v>EBITDA</v>
      </c>
      <c r="B11" s="1" t="str">
        <f>"2.4"</f>
        <v>2.4</v>
      </c>
      <c r="C11" s="1" t="str">
        <f>"2.5"</f>
        <v>2.5</v>
      </c>
      <c r="D11" s="1" t="str">
        <f t="shared" ref="D11:E11" si="20">"2.6"</f>
        <v>2.6</v>
      </c>
      <c r="E11" s="1" t="str">
        <f t="shared" si="20"/>
        <v>2.6</v>
      </c>
      <c r="F11" s="1" t="str">
        <f>"2.7"</f>
        <v>2.7</v>
      </c>
      <c r="G11" s="1" t="str">
        <f t="shared" ref="G11:I11" si="21">"2.8"</f>
        <v>2.8</v>
      </c>
      <c r="H11" s="1" t="str">
        <f t="shared" si="21"/>
        <v>2.8</v>
      </c>
      <c r="I11" s="1" t="str">
        <f t="shared" si="21"/>
        <v>2.8</v>
      </c>
      <c r="J11" s="1" t="str">
        <f>"2.9"</f>
        <v>2.9</v>
      </c>
      <c r="K11" s="1" t="str">
        <f>"3.1"</f>
        <v>3.1</v>
      </c>
      <c r="L11" s="1" t="str">
        <f t="shared" ref="L11:M11" si="22">"3.2"</f>
        <v>3.2</v>
      </c>
      <c r="M11" s="1" t="str">
        <f t="shared" si="22"/>
        <v>3.2</v>
      </c>
      <c r="N11" s="1" t="str">
        <f>"3.3"</f>
        <v>3.3</v>
      </c>
    </row>
    <row r="12">
      <c r="A12" s="1" t="str">
        <f>"EBITDA Margin %"</f>
        <v>EBITDA Margin %</v>
      </c>
      <c r="B12" s="1" t="str">
        <f>"13.2%"</f>
        <v>13.2%</v>
      </c>
      <c r="C12" s="1" t="str">
        <f>"13.3%"</f>
        <v>13.3%</v>
      </c>
      <c r="D12" s="1" t="str">
        <f t="shared" ref="D12:E12" si="23">"13.5%"</f>
        <v>13.5%</v>
      </c>
      <c r="E12" s="1" t="str">
        <f t="shared" si="23"/>
        <v>13.5%</v>
      </c>
      <c r="F12" s="1" t="str">
        <f>"13.6%"</f>
        <v>13.6%</v>
      </c>
      <c r="G12" s="1" t="str">
        <f>"13.7%"</f>
        <v>13.7%</v>
      </c>
      <c r="H12" s="1" t="str">
        <f>"13.3%"</f>
        <v>13.3%</v>
      </c>
      <c r="I12" s="1" t="str">
        <f>"13.4%"</f>
        <v>13.4%</v>
      </c>
      <c r="J12" s="1" t="str">
        <f>"13.5%"</f>
        <v>13.5%</v>
      </c>
      <c r="K12" s="1" t="str">
        <f>"14.2%"</f>
        <v>14.2%</v>
      </c>
      <c r="L12" s="1" t="str">
        <f>"14.4%"</f>
        <v>14.4%</v>
      </c>
      <c r="M12" s="1" t="str">
        <f>"14.3%"</f>
        <v>14.3%</v>
      </c>
      <c r="N12" s="1" t="str">
        <f>"14.5%"</f>
        <v>14.5%</v>
      </c>
    </row>
    <row r="13">
      <c r="A13" s="1" t="str">
        <f>"Depreciation &amp; Amortization"</f>
        <v>Depreciation &amp; Amortization</v>
      </c>
      <c r="B13" s="1" t="str">
        <f t="shared" ref="B13:I13" si="24">"0.8"</f>
        <v>0.8</v>
      </c>
      <c r="C13" s="1" t="str">
        <f t="shared" si="24"/>
        <v>0.8</v>
      </c>
      <c r="D13" s="1" t="str">
        <f t="shared" si="24"/>
        <v>0.8</v>
      </c>
      <c r="E13" s="1" t="str">
        <f t="shared" si="24"/>
        <v>0.8</v>
      </c>
      <c r="F13" s="1" t="str">
        <f t="shared" si="24"/>
        <v>0.8</v>
      </c>
      <c r="G13" s="1" t="str">
        <f t="shared" si="24"/>
        <v>0.8</v>
      </c>
      <c r="H13" s="1" t="str">
        <f t="shared" si="24"/>
        <v>0.8</v>
      </c>
      <c r="I13" s="1" t="str">
        <f t="shared" si="24"/>
        <v>0.8</v>
      </c>
      <c r="J13" s="1" t="str">
        <f t="shared" ref="J13:N13" si="25">"0.9"</f>
        <v>0.9</v>
      </c>
      <c r="K13" s="1" t="str">
        <f t="shared" si="25"/>
        <v>0.9</v>
      </c>
      <c r="L13" s="1" t="str">
        <f t="shared" si="25"/>
        <v>0.9</v>
      </c>
      <c r="M13" s="1" t="str">
        <f t="shared" si="25"/>
        <v>0.9</v>
      </c>
      <c r="N13" s="1" t="str">
        <f t="shared" si="25"/>
        <v>0.9</v>
      </c>
    </row>
    <row r="14">
      <c r="A14" s="1" t="str">
        <f>"EBIT"</f>
        <v>EBIT</v>
      </c>
      <c r="B14" s="1" t="str">
        <f>"1.6"</f>
        <v>1.6</v>
      </c>
      <c r="C14" s="1" t="str">
        <f>"1.7"</f>
        <v>1.7</v>
      </c>
      <c r="D14" s="1" t="str">
        <f t="shared" ref="D14:E14" si="26">"1.8"</f>
        <v>1.8</v>
      </c>
      <c r="E14" s="1" t="str">
        <f t="shared" si="26"/>
        <v>1.8</v>
      </c>
      <c r="F14" s="1" t="str">
        <f>"1.9"</f>
        <v>1.9</v>
      </c>
      <c r="G14" s="1" t="str">
        <f t="shared" ref="G14:J14" si="27">"2.0"</f>
        <v>2.0</v>
      </c>
      <c r="H14" s="1" t="str">
        <f t="shared" si="27"/>
        <v>2.0</v>
      </c>
      <c r="I14" s="1" t="str">
        <f t="shared" si="27"/>
        <v>2.0</v>
      </c>
      <c r="J14" s="1" t="str">
        <f t="shared" si="27"/>
        <v>2.0</v>
      </c>
      <c r="K14" s="1" t="str">
        <f>"2.2"</f>
        <v>2.2</v>
      </c>
      <c r="L14" s="1" t="str">
        <f t="shared" ref="L14:M14" si="28">"2.3"</f>
        <v>2.3</v>
      </c>
      <c r="M14" s="1" t="str">
        <f t="shared" si="28"/>
        <v>2.3</v>
      </c>
      <c r="N14" s="1" t="str">
        <f>"2.4"</f>
        <v>2.4</v>
      </c>
    </row>
    <row r="15">
      <c r="A15" s="1" t="str">
        <f>"Interest Expense"</f>
        <v>Interest Expense</v>
      </c>
      <c r="B15" s="1" t="str">
        <f t="shared" ref="B15:I15" si="29">"0.4"</f>
        <v>0.4</v>
      </c>
      <c r="C15" s="1" t="str">
        <f t="shared" si="29"/>
        <v>0.4</v>
      </c>
      <c r="D15" s="1" t="str">
        <f t="shared" si="29"/>
        <v>0.4</v>
      </c>
      <c r="E15" s="1" t="str">
        <f t="shared" si="29"/>
        <v>0.4</v>
      </c>
      <c r="F15" s="1" t="str">
        <f t="shared" si="29"/>
        <v>0.4</v>
      </c>
      <c r="G15" s="1" t="str">
        <f t="shared" si="29"/>
        <v>0.4</v>
      </c>
      <c r="H15" s="1" t="str">
        <f t="shared" si="29"/>
        <v>0.4</v>
      </c>
      <c r="I15" s="1" t="str">
        <f t="shared" si="29"/>
        <v>0.4</v>
      </c>
      <c r="J15" s="1" t="str">
        <f t="shared" ref="J15:N15" si="30">"0.5"</f>
        <v>0.5</v>
      </c>
      <c r="K15" s="1" t="str">
        <f t="shared" si="30"/>
        <v>0.5</v>
      </c>
      <c r="L15" s="1" t="str">
        <f t="shared" si="30"/>
        <v>0.5</v>
      </c>
      <c r="M15" s="1" t="str">
        <f t="shared" si="30"/>
        <v>0.5</v>
      </c>
      <c r="N15" s="1" t="str">
        <f t="shared" si="30"/>
        <v>0.5</v>
      </c>
    </row>
    <row r="16">
      <c r="A16" s="1" t="str">
        <f>"EBT"</f>
        <v>EBT</v>
      </c>
      <c r="B16" s="1" t="str">
        <f>"1.2"</f>
        <v>1.2</v>
      </c>
      <c r="C16" s="1" t="str">
        <f>"1.3"</f>
        <v>1.3</v>
      </c>
      <c r="D16" s="1" t="str">
        <f t="shared" ref="D16:E16" si="31">"1.4"</f>
        <v>1.4</v>
      </c>
      <c r="E16" s="1" t="str">
        <f t="shared" si="31"/>
        <v>1.4</v>
      </c>
      <c r="F16" s="1" t="str">
        <f>"1.5"</f>
        <v>1.5</v>
      </c>
      <c r="G16" s="1" t="str">
        <f t="shared" ref="G16:I16" si="32">"1.6"</f>
        <v>1.6</v>
      </c>
      <c r="H16" s="1" t="str">
        <f t="shared" si="32"/>
        <v>1.6</v>
      </c>
      <c r="I16" s="1" t="str">
        <f t="shared" si="32"/>
        <v>1.6</v>
      </c>
      <c r="J16" s="1" t="str">
        <f>"1.5"</f>
        <v>1.5</v>
      </c>
      <c r="K16" s="1" t="str">
        <f>"1.7"</f>
        <v>1.7</v>
      </c>
      <c r="L16" s="1" t="str">
        <f t="shared" ref="L16:M16" si="33">"1.8"</f>
        <v>1.8</v>
      </c>
      <c r="M16" s="1" t="str">
        <f t="shared" si="33"/>
        <v>1.8</v>
      </c>
      <c r="N16" s="1" t="str">
        <f>"1.9"</f>
        <v>1.9</v>
      </c>
    </row>
    <row r="17">
      <c r="A17" s="1" t="str">
        <f>"Income Tax Expense"</f>
        <v>Income Tax Expense</v>
      </c>
      <c r="B17" s="1" t="str">
        <f t="shared" ref="B17:C17" si="34">"0.3"</f>
        <v>0.3</v>
      </c>
      <c r="C17" s="1" t="str">
        <f t="shared" si="34"/>
        <v>0.3</v>
      </c>
      <c r="D17" s="1" t="str">
        <f t="shared" ref="D17:K17" si="35">"0.4"</f>
        <v>0.4</v>
      </c>
      <c r="E17" s="1" t="str">
        <f t="shared" si="35"/>
        <v>0.4</v>
      </c>
      <c r="F17" s="1" t="str">
        <f t="shared" si="35"/>
        <v>0.4</v>
      </c>
      <c r="G17" s="1" t="str">
        <f t="shared" si="35"/>
        <v>0.4</v>
      </c>
      <c r="H17" s="1" t="str">
        <f t="shared" si="35"/>
        <v>0.4</v>
      </c>
      <c r="I17" s="1" t="str">
        <f t="shared" si="35"/>
        <v>0.4</v>
      </c>
      <c r="J17" s="1" t="str">
        <f t="shared" si="35"/>
        <v>0.4</v>
      </c>
      <c r="K17" s="1" t="str">
        <f t="shared" si="35"/>
        <v>0.4</v>
      </c>
      <c r="L17" s="1" t="str">
        <f t="shared" ref="L17:N17" si="36">"0.5"</f>
        <v>0.5</v>
      </c>
      <c r="M17" s="1" t="str">
        <f t="shared" si="36"/>
        <v>0.5</v>
      </c>
      <c r="N17" s="1" t="str">
        <f t="shared" si="36"/>
        <v>0.5</v>
      </c>
    </row>
    <row r="18">
      <c r="A18" s="1" t="str">
        <f>"Net Income"</f>
        <v>Net Income</v>
      </c>
      <c r="B18" s="1" t="str">
        <f>"0.9"</f>
        <v>0.9</v>
      </c>
      <c r="C18" s="1" t="str">
        <f t="shared" ref="C18:E18" si="37">"1.0"</f>
        <v>1.0</v>
      </c>
      <c r="D18" s="1" t="str">
        <f t="shared" si="37"/>
        <v>1.0</v>
      </c>
      <c r="E18" s="1" t="str">
        <f t="shared" si="37"/>
        <v>1.0</v>
      </c>
      <c r="F18" s="1" t="str">
        <f>"1.1"</f>
        <v>1.1</v>
      </c>
      <c r="G18" s="1" t="str">
        <f t="shared" ref="G18:I18" si="38">"1.2"</f>
        <v>1.2</v>
      </c>
      <c r="H18" s="1" t="str">
        <f t="shared" si="38"/>
        <v>1.2</v>
      </c>
      <c r="I18" s="1" t="str">
        <f t="shared" si="38"/>
        <v>1.2</v>
      </c>
      <c r="J18" s="1" t="str">
        <f>"1.1"</f>
        <v>1.1</v>
      </c>
      <c r="K18" s="1" t="str">
        <f t="shared" ref="K18:M18" si="39">"1.3"</f>
        <v>1.3</v>
      </c>
      <c r="L18" s="1" t="str">
        <f t="shared" si="39"/>
        <v>1.3</v>
      </c>
      <c r="M18" s="1" t="str">
        <f t="shared" si="39"/>
        <v>1.3</v>
      </c>
      <c r="N18" s="1" t="str">
        <f>"1.4"</f>
        <v>1.4</v>
      </c>
    </row>
    <row r="19">
      <c r="A19" s="1" t="str">
        <f>"Net Income Margin %"</f>
        <v>Net Income Margin %</v>
      </c>
      <c r="B19" s="1" t="str">
        <f>"4.9%"</f>
        <v>4.9%</v>
      </c>
      <c r="C19" s="1" t="str">
        <f>"5.3%"</f>
        <v>5.3%</v>
      </c>
      <c r="D19" s="1" t="str">
        <f t="shared" ref="D19:E19" si="40">"5.2%"</f>
        <v>5.2%</v>
      </c>
      <c r="E19" s="1" t="str">
        <f t="shared" si="40"/>
        <v>5.2%</v>
      </c>
      <c r="F19" s="1" t="str">
        <f>"5.6%"</f>
        <v>5.6%</v>
      </c>
      <c r="G19" s="1" t="str">
        <f>"5.9%"</f>
        <v>5.9%</v>
      </c>
      <c r="H19" s="1" t="str">
        <f t="shared" ref="H19:I19" si="41">"5.7%"</f>
        <v>5.7%</v>
      </c>
      <c r="I19" s="1" t="str">
        <f t="shared" si="41"/>
        <v>5.7%</v>
      </c>
      <c r="J19" s="1" t="str">
        <f>"5.1%"</f>
        <v>5.1%</v>
      </c>
      <c r="K19" s="1" t="str">
        <f t="shared" ref="K19:L19" si="42">"5.9%"</f>
        <v>5.9%</v>
      </c>
      <c r="L19" s="1" t="str">
        <f t="shared" si="42"/>
        <v>5.9%</v>
      </c>
      <c r="M19" s="1" t="str">
        <f>"5.8%"</f>
        <v>5.8%</v>
      </c>
      <c r="N19" s="1" t="str">
        <f>"6.2%"</f>
        <v>6.2%</v>
      </c>
    </row>
    <row r="20">
      <c r="A20" s="1" t="str">
        <f>"Cash &amp; Cash Equivalents"</f>
        <v>Cash &amp; Cash Equivalents</v>
      </c>
      <c r="B20" s="1" t="str">
        <f>"5.2"</f>
        <v>5.2</v>
      </c>
      <c r="C20" s="1" t="str">
        <f>"5.4"</f>
        <v>5.4</v>
      </c>
      <c r="D20" s="1" t="str">
        <f>"5.8"</f>
        <v>5.8</v>
      </c>
      <c r="E20" s="1" t="str">
        <f>"6.2"</f>
        <v>6.2</v>
      </c>
      <c r="F20" s="1" t="str">
        <f>"6.5"</f>
        <v>6.5</v>
      </c>
      <c r="G20" s="1" t="str">
        <f>"6.8"</f>
        <v>6.8</v>
      </c>
      <c r="H20" s="1" t="str">
        <f>"7.2"</f>
        <v>7.2</v>
      </c>
      <c r="I20" s="1" t="str">
        <f>"7.5"</f>
        <v>7.5</v>
      </c>
      <c r="J20" s="1" t="str">
        <f>"7.8"</f>
        <v>7.8</v>
      </c>
      <c r="K20" s="1" t="str">
        <f>"8.1"</f>
        <v>8.1</v>
      </c>
      <c r="L20" s="1" t="str">
        <f>"8.5"</f>
        <v>8.5</v>
      </c>
      <c r="M20" s="1" t="str">
        <f>"8.8"</f>
        <v>8.8</v>
      </c>
      <c r="N20" s="1" t="str">
        <f>"9.2"</f>
        <v>9.2</v>
      </c>
    </row>
    <row r="21">
      <c r="A21" s="1" t="str">
        <f>"Accounts Receivable"</f>
        <v>Accounts Receivable</v>
      </c>
      <c r="B21" s="1" t="str">
        <f>"1.8"</f>
        <v>1.8</v>
      </c>
      <c r="C21" s="1" t="str">
        <f>"1.9"</f>
        <v>1.9</v>
      </c>
      <c r="D21" s="1" t="str">
        <f t="shared" ref="D21:E21" si="43">"2.0"</f>
        <v>2.0</v>
      </c>
      <c r="E21" s="1" t="str">
        <f t="shared" si="43"/>
        <v>2.0</v>
      </c>
      <c r="F21" s="1" t="str">
        <f>"2.1"</f>
        <v>2.1</v>
      </c>
      <c r="G21" s="1" t="str">
        <f>"2.2"</f>
        <v>2.2</v>
      </c>
      <c r="H21" s="1" t="str">
        <f>"2.3"</f>
        <v>2.3</v>
      </c>
      <c r="I21" s="1" t="str">
        <f>"2.2"</f>
        <v>2.2</v>
      </c>
      <c r="J21" s="1" t="str">
        <f>"2.3"</f>
        <v>2.3</v>
      </c>
      <c r="K21" s="1" t="str">
        <f>"2.4"</f>
        <v>2.4</v>
      </c>
      <c r="L21" s="1" t="str">
        <f t="shared" ref="L21:M21" si="44">"2.5"</f>
        <v>2.5</v>
      </c>
      <c r="M21" s="1" t="str">
        <f t="shared" si="44"/>
        <v>2.5</v>
      </c>
      <c r="N21" s="1" t="str">
        <f>"2.6"</f>
        <v>2.6</v>
      </c>
    </row>
    <row r="22">
      <c r="A22" s="1" t="str">
        <f>"Inventory"</f>
        <v>Inventory</v>
      </c>
      <c r="B22" s="1" t="str">
        <f>"6.1"</f>
        <v>6.1</v>
      </c>
      <c r="C22" s="1" t="str">
        <f>"6.3"</f>
        <v>6.3</v>
      </c>
      <c r="D22" s="1" t="str">
        <f>"6.4"</f>
        <v>6.4</v>
      </c>
      <c r="E22" s="1" t="str">
        <f>"6.5"</f>
        <v>6.5</v>
      </c>
      <c r="F22" s="1" t="str">
        <f>"6.7"</f>
        <v>6.7</v>
      </c>
      <c r="G22" s="1" t="str">
        <f>"6.9"</f>
        <v>6.9</v>
      </c>
      <c r="H22" s="1" t="str">
        <f t="shared" ref="H22:I22" si="45">"7.1"</f>
        <v>7.1</v>
      </c>
      <c r="I22" s="1" t="str">
        <f t="shared" si="45"/>
        <v>7.1</v>
      </c>
      <c r="J22" s="1" t="str">
        <f>"7.3"</f>
        <v>7.3</v>
      </c>
      <c r="K22" s="1" t="str">
        <f>"7.4"</f>
        <v>7.4</v>
      </c>
      <c r="L22" s="1" t="str">
        <f>"7.5"</f>
        <v>7.5</v>
      </c>
      <c r="M22" s="1" t="str">
        <f>"7.6"</f>
        <v>7.6</v>
      </c>
      <c r="N22" s="1" t="str">
        <f>"7.7"</f>
        <v>7.7</v>
      </c>
    </row>
    <row r="23">
      <c r="A23" s="1" t="str">
        <f>"Other Current Assets"</f>
        <v>Other Current Assets</v>
      </c>
      <c r="B23" s="1" t="str">
        <f t="shared" ref="B23:E23" si="46">"1.2"</f>
        <v>1.2</v>
      </c>
      <c r="C23" s="1" t="str">
        <f t="shared" si="46"/>
        <v>1.2</v>
      </c>
      <c r="D23" s="1" t="str">
        <f t="shared" si="46"/>
        <v>1.2</v>
      </c>
      <c r="E23" s="1" t="str">
        <f t="shared" si="46"/>
        <v>1.2</v>
      </c>
      <c r="F23" s="1" t="str">
        <f t="shared" ref="F23:I23" si="47">"1.3"</f>
        <v>1.3</v>
      </c>
      <c r="G23" s="1" t="str">
        <f t="shared" si="47"/>
        <v>1.3</v>
      </c>
      <c r="H23" s="1" t="str">
        <f t="shared" si="47"/>
        <v>1.3</v>
      </c>
      <c r="I23" s="1" t="str">
        <f t="shared" si="47"/>
        <v>1.3</v>
      </c>
      <c r="J23" s="1" t="str">
        <f t="shared" ref="J23:M23" si="48">"1.4"</f>
        <v>1.4</v>
      </c>
      <c r="K23" s="1" t="str">
        <f t="shared" si="48"/>
        <v>1.4</v>
      </c>
      <c r="L23" s="1" t="str">
        <f t="shared" si="48"/>
        <v>1.4</v>
      </c>
      <c r="M23" s="1" t="str">
        <f t="shared" si="48"/>
        <v>1.4</v>
      </c>
      <c r="N23" s="1" t="str">
        <f>"1.5"</f>
        <v>1.5</v>
      </c>
    </row>
    <row r="24">
      <c r="A24" s="1" t="str">
        <f>"Total Current Assets"</f>
        <v>Total Current Assets</v>
      </c>
      <c r="B24" s="1" t="str">
        <f>"14.3"</f>
        <v>14.3</v>
      </c>
      <c r="C24" s="1" t="str">
        <f>"14.8"</f>
        <v>14.8</v>
      </c>
      <c r="D24" s="1" t="str">
        <f>"15.4"</f>
        <v>15.4</v>
      </c>
      <c r="E24" s="1" t="str">
        <f>"15.9"</f>
        <v>15.9</v>
      </c>
      <c r="F24" s="1" t="str">
        <f>"16.6"</f>
        <v>16.6</v>
      </c>
      <c r="G24" s="1" t="str">
        <f>"17.2"</f>
        <v>17.2</v>
      </c>
      <c r="H24" s="1" t="str">
        <f>"17.9"</f>
        <v>17.9</v>
      </c>
      <c r="I24" s="1" t="str">
        <f>"18.1"</f>
        <v>18.1</v>
      </c>
      <c r="J24" s="1" t="str">
        <f>"18.8"</f>
        <v>18.8</v>
      </c>
      <c r="K24" s="1" t="str">
        <f>"19.3"</f>
        <v>19.3</v>
      </c>
      <c r="L24" s="1" t="str">
        <f>"19.9"</f>
        <v>19.9</v>
      </c>
      <c r="M24" s="1" t="str">
        <f>"20.3"</f>
        <v>20.3</v>
      </c>
      <c r="N24" s="1" t="str">
        <f>"21.0"</f>
        <v>21.0</v>
      </c>
    </row>
    <row r="25">
      <c r="A25" s="1" t="str">
        <f>"Property &amp; Equipment (Gross)"</f>
        <v>Property &amp; Equipment (Gross)</v>
      </c>
      <c r="B25" s="1" t="str">
        <f>"44.8"</f>
        <v>44.8</v>
      </c>
      <c r="C25" s="1" t="str">
        <f>"45.3"</f>
        <v>45.3</v>
      </c>
      <c r="D25" s="1" t="str">
        <f>"45.8"</f>
        <v>45.8</v>
      </c>
      <c r="E25" s="1" t="str">
        <f>"46.2"</f>
        <v>46.2</v>
      </c>
      <c r="F25" s="1" t="str">
        <f>"46.8"</f>
        <v>46.8</v>
      </c>
      <c r="G25" s="1" t="str">
        <f>"47.5"</f>
        <v>47.5</v>
      </c>
      <c r="H25" s="1" t="str">
        <f>"48.3"</f>
        <v>48.3</v>
      </c>
      <c r="I25" s="1" t="str">
        <f>"49.2"</f>
        <v>49.2</v>
      </c>
      <c r="J25" s="1" t="str">
        <f>"50.1"</f>
        <v>50.1</v>
      </c>
      <c r="K25" s="1" t="str">
        <f>"51.0"</f>
        <v>51.0</v>
      </c>
      <c r="L25" s="1" t="str">
        <f>"51.9"</f>
        <v>51.9</v>
      </c>
      <c r="M25" s="1" t="str">
        <f>"52.8"</f>
        <v>52.8</v>
      </c>
      <c r="N25" s="1" t="str">
        <f>"53.5"</f>
        <v>53.5</v>
      </c>
    </row>
    <row r="26">
      <c r="A26" s="1" t="str">
        <f>"Accumulated Depreciation"</f>
        <v>Accumulated Depreciation</v>
      </c>
      <c r="B26" s="1" t="str">
        <f>"18.2"</f>
        <v>18.2</v>
      </c>
      <c r="C26" s="1" t="str">
        <f>"19.0"</f>
        <v>19.0</v>
      </c>
      <c r="D26" s="1" t="str">
        <f>"19.8"</f>
        <v>19.8</v>
      </c>
      <c r="E26" s="1" t="str">
        <f>"20.6"</f>
        <v>20.6</v>
      </c>
      <c r="F26" s="1" t="str">
        <f>"21.4"</f>
        <v>21.4</v>
      </c>
      <c r="G26" s="1" t="str">
        <f>"22.2"</f>
        <v>22.2</v>
      </c>
      <c r="H26" s="1" t="str">
        <f>"23.0"</f>
        <v>23.0</v>
      </c>
      <c r="I26" s="1" t="str">
        <f>"23.8"</f>
        <v>23.8</v>
      </c>
      <c r="J26" s="1" t="str">
        <f>"24.7"</f>
        <v>24.7</v>
      </c>
      <c r="K26" s="1" t="str">
        <f>"25.6"</f>
        <v>25.6</v>
      </c>
      <c r="L26" s="1" t="str">
        <f>"26.5"</f>
        <v>26.5</v>
      </c>
      <c r="M26" s="1" t="str">
        <f>"27.4"</f>
        <v>27.4</v>
      </c>
      <c r="N26" s="1" t="str">
        <f>"28.3"</f>
        <v>28.3</v>
      </c>
    </row>
    <row r="27">
      <c r="A27" s="1" t="str">
        <f>"Property &amp; Equipment (Net)"</f>
        <v>Property &amp; Equipment (Net)</v>
      </c>
      <c r="B27" s="1" t="str">
        <f>"26.6"</f>
        <v>26.6</v>
      </c>
      <c r="C27" s="1" t="str">
        <f>"26.3"</f>
        <v>26.3</v>
      </c>
      <c r="D27" s="1" t="str">
        <f>"26.0"</f>
        <v>26.0</v>
      </c>
      <c r="E27" s="1" t="str">
        <f>"25.6"</f>
        <v>25.6</v>
      </c>
      <c r="F27" s="1" t="str">
        <f>"25.4"</f>
        <v>25.4</v>
      </c>
      <c r="G27" s="1" t="str">
        <f t="shared" ref="G27:H27" si="49">"25.3"</f>
        <v>25.3</v>
      </c>
      <c r="H27" s="1" t="str">
        <f t="shared" si="49"/>
        <v>25.3</v>
      </c>
      <c r="I27" s="1" t="str">
        <f t="shared" ref="I27:M27" si="50">"25.4"</f>
        <v>25.4</v>
      </c>
      <c r="J27" s="1" t="str">
        <f t="shared" si="50"/>
        <v>25.4</v>
      </c>
      <c r="K27" s="1" t="str">
        <f t="shared" si="50"/>
        <v>25.4</v>
      </c>
      <c r="L27" s="1" t="str">
        <f t="shared" si="50"/>
        <v>25.4</v>
      </c>
      <c r="M27" s="1" t="str">
        <f t="shared" si="50"/>
        <v>25.4</v>
      </c>
      <c r="N27" s="1" t="str">
        <f>"25.2"</f>
        <v>25.2</v>
      </c>
    </row>
    <row r="28">
      <c r="A28" s="1" t="str">
        <f>"Real Estate Owned"</f>
        <v>Real Estate Owned</v>
      </c>
      <c r="B28" s="1" t="str">
        <f t="shared" ref="B28:E28" si="51">"31.5"</f>
        <v>31.5</v>
      </c>
      <c r="C28" s="1" t="str">
        <f t="shared" si="51"/>
        <v>31.5</v>
      </c>
      <c r="D28" s="1" t="str">
        <f t="shared" si="51"/>
        <v>31.5</v>
      </c>
      <c r="E28" s="1" t="str">
        <f t="shared" si="51"/>
        <v>31.5</v>
      </c>
      <c r="F28" s="1" t="str">
        <f t="shared" ref="F28:I28" si="52">"31.8"</f>
        <v>31.8</v>
      </c>
      <c r="G28" s="1" t="str">
        <f t="shared" si="52"/>
        <v>31.8</v>
      </c>
      <c r="H28" s="1" t="str">
        <f t="shared" si="52"/>
        <v>31.8</v>
      </c>
      <c r="I28" s="1" t="str">
        <f t="shared" si="52"/>
        <v>31.8</v>
      </c>
      <c r="J28" s="1" t="str">
        <f t="shared" ref="J28:L28" si="53">"32.2"</f>
        <v>32.2</v>
      </c>
      <c r="K28" s="1" t="str">
        <f t="shared" si="53"/>
        <v>32.2</v>
      </c>
      <c r="L28" s="1" t="str">
        <f t="shared" si="53"/>
        <v>32.2</v>
      </c>
      <c r="M28" s="1" t="str">
        <f t="shared" ref="M28:N28" si="54">"32.4"</f>
        <v>32.4</v>
      </c>
      <c r="N28" s="1" t="str">
        <f t="shared" si="54"/>
        <v>32.4</v>
      </c>
    </row>
    <row r="29">
      <c r="A29" s="1" t="str">
        <f>"Goodwill &amp; Intangibles"</f>
        <v>Goodwill &amp; Intangibles</v>
      </c>
      <c r="B29" s="1" t="str">
        <f>"4.2"</f>
        <v>4.2</v>
      </c>
      <c r="C29" s="1" t="str">
        <f>"4.1"</f>
        <v>4.1</v>
      </c>
      <c r="D29" s="1" t="str">
        <f>"4.0"</f>
        <v>4.0</v>
      </c>
      <c r="E29" s="1" t="str">
        <f>"3.9"</f>
        <v>3.9</v>
      </c>
      <c r="F29" s="1" t="str">
        <f>"3.8"</f>
        <v>3.8</v>
      </c>
      <c r="G29" s="1" t="str">
        <f>"3.7"</f>
        <v>3.7</v>
      </c>
      <c r="H29" s="1" t="str">
        <f>"3.6"</f>
        <v>3.6</v>
      </c>
      <c r="I29" s="1" t="str">
        <f>"3.5"</f>
        <v>3.5</v>
      </c>
      <c r="J29" s="1" t="str">
        <f>"3.4"</f>
        <v>3.4</v>
      </c>
      <c r="K29" s="1" t="str">
        <f>"3.3"</f>
        <v>3.3</v>
      </c>
      <c r="L29" s="1" t="str">
        <f>"3.2"</f>
        <v>3.2</v>
      </c>
      <c r="M29" s="1" t="str">
        <f>"3.1"</f>
        <v>3.1</v>
      </c>
      <c r="N29" s="1" t="str">
        <f>"3.0"</f>
        <v>3.0</v>
      </c>
    </row>
    <row r="30">
      <c r="A30" s="1" t="str">
        <f>"Other Non-Current Assets"</f>
        <v>Other Non-Current Assets</v>
      </c>
      <c r="B30" s="1" t="str">
        <f t="shared" ref="B30:E30" si="55">"1.8"</f>
        <v>1.8</v>
      </c>
      <c r="C30" s="1" t="str">
        <f t="shared" si="55"/>
        <v>1.8</v>
      </c>
      <c r="D30" s="1" t="str">
        <f t="shared" si="55"/>
        <v>1.8</v>
      </c>
      <c r="E30" s="1" t="str">
        <f t="shared" si="55"/>
        <v>1.8</v>
      </c>
      <c r="F30" s="1" t="str">
        <f t="shared" ref="F30:I30" si="56">"1.9"</f>
        <v>1.9</v>
      </c>
      <c r="G30" s="1" t="str">
        <f t="shared" si="56"/>
        <v>1.9</v>
      </c>
      <c r="H30" s="1" t="str">
        <f t="shared" si="56"/>
        <v>1.9</v>
      </c>
      <c r="I30" s="1" t="str">
        <f t="shared" si="56"/>
        <v>1.9</v>
      </c>
      <c r="J30" s="1" t="str">
        <f t="shared" ref="J30:M30" si="57">"2.0"</f>
        <v>2.0</v>
      </c>
      <c r="K30" s="1" t="str">
        <f t="shared" si="57"/>
        <v>2.0</v>
      </c>
      <c r="L30" s="1" t="str">
        <f t="shared" si="57"/>
        <v>2.0</v>
      </c>
      <c r="M30" s="1" t="str">
        <f t="shared" si="57"/>
        <v>2.0</v>
      </c>
      <c r="N30" s="1" t="str">
        <f>"2.1"</f>
        <v>2.1</v>
      </c>
    </row>
    <row r="31">
      <c r="A31" s="1" t="str">
        <f>"Total Assets"</f>
        <v>Total Assets</v>
      </c>
      <c r="B31" s="1" t="str">
        <f>"78.4"</f>
        <v>78.4</v>
      </c>
      <c r="C31" s="1" t="str">
        <f>"78.5"</f>
        <v>78.5</v>
      </c>
      <c r="D31" s="1" t="str">
        <f t="shared" ref="D31:E31" si="58">"78.7"</f>
        <v>78.7</v>
      </c>
      <c r="E31" s="1" t="str">
        <f t="shared" si="58"/>
        <v>78.7</v>
      </c>
      <c r="F31" s="1" t="str">
        <f>"79.5"</f>
        <v>79.5</v>
      </c>
      <c r="G31" s="1" t="str">
        <f>"79.9"</f>
        <v>79.9</v>
      </c>
      <c r="H31" s="1" t="str">
        <f>"80.5"</f>
        <v>80.5</v>
      </c>
      <c r="I31" s="1" t="str">
        <f>"80.7"</f>
        <v>80.7</v>
      </c>
      <c r="J31" s="1" t="str">
        <f>"81.8"</f>
        <v>81.8</v>
      </c>
      <c r="K31" s="1" t="str">
        <f>"82.2"</f>
        <v>82.2</v>
      </c>
      <c r="L31" s="1" t="str">
        <f>"82.7"</f>
        <v>82.7</v>
      </c>
      <c r="M31" s="1" t="str">
        <f>"83.2"</f>
        <v>83.2</v>
      </c>
      <c r="N31" s="1" t="str">
        <f>"83.7"</f>
        <v>83.7</v>
      </c>
    </row>
    <row r="32">
      <c r="A32" s="1" t="str">
        <f>"Accounts Payable"</f>
        <v>Accounts Payable</v>
      </c>
      <c r="B32" s="1" t="str">
        <f>"8.5"</f>
        <v>8.5</v>
      </c>
      <c r="C32" s="1" t="str">
        <f>"8.8"</f>
        <v>8.8</v>
      </c>
      <c r="D32" s="1" t="str">
        <f>"9.1"</f>
        <v>9.1</v>
      </c>
      <c r="E32" s="1" t="str">
        <f>"9.0"</f>
        <v>9.0</v>
      </c>
      <c r="F32" s="1" t="str">
        <f>"9.3"</f>
        <v>9.3</v>
      </c>
      <c r="G32" s="1" t="str">
        <f>"9.6"</f>
        <v>9.6</v>
      </c>
      <c r="H32" s="1" t="str">
        <f>"9.9"</f>
        <v>9.9</v>
      </c>
      <c r="I32" s="1" t="str">
        <f>"9.8"</f>
        <v>9.8</v>
      </c>
      <c r="J32" s="1" t="str">
        <f>"10.1"</f>
        <v>10.1</v>
      </c>
      <c r="K32" s="1" t="str">
        <f>"10.3"</f>
        <v>10.3</v>
      </c>
      <c r="L32" s="1" t="str">
        <f t="shared" ref="L32:M32" si="59">"10.5"</f>
        <v>10.5</v>
      </c>
      <c r="M32" s="1" t="str">
        <f t="shared" si="59"/>
        <v>10.5</v>
      </c>
      <c r="N32" s="1" t="str">
        <f>"10.7"</f>
        <v>10.7</v>
      </c>
    </row>
    <row r="33">
      <c r="A33" s="1" t="str">
        <f>"Accrued Expenses"</f>
        <v>Accrued Expenses</v>
      </c>
      <c r="B33" s="1" t="str">
        <f>"3.2"</f>
        <v>3.2</v>
      </c>
      <c r="C33" s="1" t="str">
        <f>"3.3"</f>
        <v>3.3</v>
      </c>
      <c r="D33" s="1" t="str">
        <f t="shared" ref="D33:E33" si="60">"3.4"</f>
        <v>3.4</v>
      </c>
      <c r="E33" s="1" t="str">
        <f t="shared" si="60"/>
        <v>3.4</v>
      </c>
      <c r="F33" s="1" t="str">
        <f>"3.5"</f>
        <v>3.5</v>
      </c>
      <c r="G33" s="1" t="str">
        <f>"3.6"</f>
        <v>3.6</v>
      </c>
      <c r="H33" s="1" t="str">
        <f t="shared" ref="H33:I33" si="61">"3.7"</f>
        <v>3.7</v>
      </c>
      <c r="I33" s="1" t="str">
        <f t="shared" si="61"/>
        <v>3.7</v>
      </c>
      <c r="J33" s="1" t="str">
        <f>"3.8"</f>
        <v>3.8</v>
      </c>
      <c r="K33" s="1" t="str">
        <f t="shared" ref="K33:M33" si="62">"3.9"</f>
        <v>3.9</v>
      </c>
      <c r="L33" s="1" t="str">
        <f t="shared" si="62"/>
        <v>3.9</v>
      </c>
      <c r="M33" s="1" t="str">
        <f t="shared" si="62"/>
        <v>3.9</v>
      </c>
      <c r="N33" s="1" t="str">
        <f>"4.0"</f>
        <v>4.0</v>
      </c>
    </row>
    <row r="34">
      <c r="A34" s="1" t="str">
        <f>"Current Portion of Long-Term Debt"</f>
        <v>Current Portion of Long-Term Debt</v>
      </c>
      <c r="B34" s="1" t="str">
        <f t="shared" ref="B34:E34" si="63">"2.5"</f>
        <v>2.5</v>
      </c>
      <c r="C34" s="1" t="str">
        <f t="shared" si="63"/>
        <v>2.5</v>
      </c>
      <c r="D34" s="1" t="str">
        <f t="shared" si="63"/>
        <v>2.5</v>
      </c>
      <c r="E34" s="1" t="str">
        <f t="shared" si="63"/>
        <v>2.5</v>
      </c>
      <c r="F34" s="1" t="str">
        <f t="shared" ref="F34:I34" si="64">"2.7"</f>
        <v>2.7</v>
      </c>
      <c r="G34" s="1" t="str">
        <f t="shared" si="64"/>
        <v>2.7</v>
      </c>
      <c r="H34" s="1" t="str">
        <f t="shared" si="64"/>
        <v>2.7</v>
      </c>
      <c r="I34" s="1" t="str">
        <f t="shared" si="64"/>
        <v>2.7</v>
      </c>
      <c r="J34" s="1" t="str">
        <f t="shared" ref="J34:M34" si="65">"2.9"</f>
        <v>2.9</v>
      </c>
      <c r="K34" s="1" t="str">
        <f t="shared" si="65"/>
        <v>2.9</v>
      </c>
      <c r="L34" s="1" t="str">
        <f t="shared" si="65"/>
        <v>2.9</v>
      </c>
      <c r="M34" s="1" t="str">
        <f t="shared" si="65"/>
        <v>2.9</v>
      </c>
      <c r="N34" s="1" t="str">
        <f>"3.1"</f>
        <v>3.1</v>
      </c>
    </row>
    <row r="35">
      <c r="A35" s="1" t="str">
        <f>"Other Current Liabilities"</f>
        <v>Other Current Liabilities</v>
      </c>
      <c r="B35" s="1" t="str">
        <f t="shared" ref="B35:E35" si="66">"1.5"</f>
        <v>1.5</v>
      </c>
      <c r="C35" s="1" t="str">
        <f t="shared" si="66"/>
        <v>1.5</v>
      </c>
      <c r="D35" s="1" t="str">
        <f t="shared" si="66"/>
        <v>1.5</v>
      </c>
      <c r="E35" s="1" t="str">
        <f t="shared" si="66"/>
        <v>1.5</v>
      </c>
      <c r="F35" s="1" t="str">
        <f t="shared" ref="F35:I35" si="67">"1.6"</f>
        <v>1.6</v>
      </c>
      <c r="G35" s="1" t="str">
        <f t="shared" si="67"/>
        <v>1.6</v>
      </c>
      <c r="H35" s="1" t="str">
        <f t="shared" si="67"/>
        <v>1.6</v>
      </c>
      <c r="I35" s="1" t="str">
        <f t="shared" si="67"/>
        <v>1.6</v>
      </c>
      <c r="J35" s="1" t="str">
        <f t="shared" ref="J35:M35" si="68">"1.7"</f>
        <v>1.7</v>
      </c>
      <c r="K35" s="1" t="str">
        <f t="shared" si="68"/>
        <v>1.7</v>
      </c>
      <c r="L35" s="1" t="str">
        <f t="shared" si="68"/>
        <v>1.7</v>
      </c>
      <c r="M35" s="1" t="str">
        <f t="shared" si="68"/>
        <v>1.7</v>
      </c>
      <c r="N35" s="1" t="str">
        <f>"1.8"</f>
        <v>1.8</v>
      </c>
    </row>
    <row r="36">
      <c r="A36" s="1" t="str">
        <f>"Total Current Liabilities"</f>
        <v>Total Current Liabilities</v>
      </c>
      <c r="B36" s="1" t="str">
        <f>"15.7"</f>
        <v>15.7</v>
      </c>
      <c r="C36" s="1" t="str">
        <f>"16.1"</f>
        <v>16.1</v>
      </c>
      <c r="D36" s="1" t="str">
        <f>"16.5"</f>
        <v>16.5</v>
      </c>
      <c r="E36" s="1" t="str">
        <f>"16.4"</f>
        <v>16.4</v>
      </c>
      <c r="F36" s="1" t="str">
        <f>"17.1"</f>
        <v>17.1</v>
      </c>
      <c r="G36" s="1" t="str">
        <f>"17.5"</f>
        <v>17.5</v>
      </c>
      <c r="H36" s="1" t="str">
        <f>"17.9"</f>
        <v>17.9</v>
      </c>
      <c r="I36" s="1" t="str">
        <f>"17.8"</f>
        <v>17.8</v>
      </c>
      <c r="J36" s="1" t="str">
        <f>"18.5"</f>
        <v>18.5</v>
      </c>
      <c r="K36" s="1" t="str">
        <f>"18.8"</f>
        <v>18.8</v>
      </c>
      <c r="L36" s="1" t="str">
        <f t="shared" ref="L36:M36" si="69">"19.0"</f>
        <v>19.0</v>
      </c>
      <c r="M36" s="1" t="str">
        <f t="shared" si="69"/>
        <v>19.0</v>
      </c>
      <c r="N36" s="1" t="str">
        <f>"19.6"</f>
        <v>19.6</v>
      </c>
    </row>
    <row r="37">
      <c r="A37" s="1" t="str">
        <f>"Long-Term Debt"</f>
        <v>Long-Term Debt</v>
      </c>
      <c r="B37" s="1" t="str">
        <f>"22.8"</f>
        <v>22.8</v>
      </c>
      <c r="C37" s="1" t="str">
        <f>"22.3"</f>
        <v>22.3</v>
      </c>
      <c r="D37" s="1" t="str">
        <f>"21.8"</f>
        <v>21.8</v>
      </c>
      <c r="E37" s="1" t="str">
        <f>"21.3"</f>
        <v>21.3</v>
      </c>
      <c r="F37" s="1" t="str">
        <f>"21.0"</f>
        <v>21.0</v>
      </c>
      <c r="G37" s="1" t="str">
        <f>"20.5"</f>
        <v>20.5</v>
      </c>
      <c r="H37" s="1" t="str">
        <f>"20.0"</f>
        <v>20.0</v>
      </c>
      <c r="I37" s="1" t="str">
        <f>"19.5"</f>
        <v>19.5</v>
      </c>
      <c r="J37" s="1" t="str">
        <f>"19.9"</f>
        <v>19.9</v>
      </c>
      <c r="K37" s="1" t="str">
        <f>"19.4"</f>
        <v>19.4</v>
      </c>
      <c r="L37" s="1" t="str">
        <f>"18.9"</f>
        <v>18.9</v>
      </c>
      <c r="M37" s="1" t="str">
        <f>"18.4"</f>
        <v>18.4</v>
      </c>
      <c r="N37" s="1" t="str">
        <f>"19.7"</f>
        <v>19.7</v>
      </c>
    </row>
    <row r="38">
      <c r="A38" s="1" t="str">
        <f>"Deferred Tax Liabilities"</f>
        <v>Deferred Tax Liabilities</v>
      </c>
      <c r="B38" s="1" t="str">
        <f>"3.5"</f>
        <v>3.5</v>
      </c>
      <c r="C38" s="1" t="str">
        <f>"3.6"</f>
        <v>3.6</v>
      </c>
      <c r="D38" s="1" t="str">
        <f>"3.7"</f>
        <v>3.7</v>
      </c>
      <c r="E38" s="1" t="str">
        <f>"3.8"</f>
        <v>3.8</v>
      </c>
      <c r="F38" s="1" t="str">
        <f>"3.9"</f>
        <v>3.9</v>
      </c>
      <c r="G38" s="1" t="str">
        <f>"4.0"</f>
        <v>4.0</v>
      </c>
      <c r="H38" s="1" t="str">
        <f>"4.1"</f>
        <v>4.1</v>
      </c>
      <c r="I38" s="1" t="str">
        <f>"4.2"</f>
        <v>4.2</v>
      </c>
      <c r="J38" s="1" t="str">
        <f>"4.3"</f>
        <v>4.3</v>
      </c>
      <c r="K38" s="1" t="str">
        <f>"4.4"</f>
        <v>4.4</v>
      </c>
      <c r="L38" s="1" t="str">
        <f>"4.5"</f>
        <v>4.5</v>
      </c>
      <c r="M38" s="1" t="str">
        <f>"4.6"</f>
        <v>4.6</v>
      </c>
      <c r="N38" s="1" t="str">
        <f>"4.7"</f>
        <v>4.7</v>
      </c>
    </row>
    <row r="39">
      <c r="A39" s="1" t="str">
        <f>"Other Non-Current Liabilities"</f>
        <v>Other Non-Current Liabilities</v>
      </c>
      <c r="B39" s="1" t="str">
        <f t="shared" ref="B39:E39" si="70">"1.2"</f>
        <v>1.2</v>
      </c>
      <c r="C39" s="1" t="str">
        <f t="shared" si="70"/>
        <v>1.2</v>
      </c>
      <c r="D39" s="1" t="str">
        <f t="shared" si="70"/>
        <v>1.2</v>
      </c>
      <c r="E39" s="1" t="str">
        <f t="shared" si="70"/>
        <v>1.2</v>
      </c>
      <c r="F39" s="1" t="str">
        <f t="shared" ref="F39:I39" si="71">"1.3"</f>
        <v>1.3</v>
      </c>
      <c r="G39" s="1" t="str">
        <f t="shared" si="71"/>
        <v>1.3</v>
      </c>
      <c r="H39" s="1" t="str">
        <f t="shared" si="71"/>
        <v>1.3</v>
      </c>
      <c r="I39" s="1" t="str">
        <f t="shared" si="71"/>
        <v>1.3</v>
      </c>
      <c r="J39" s="1" t="str">
        <f t="shared" ref="J39:M39" si="72">"1.4"</f>
        <v>1.4</v>
      </c>
      <c r="K39" s="1" t="str">
        <f t="shared" si="72"/>
        <v>1.4</v>
      </c>
      <c r="L39" s="1" t="str">
        <f t="shared" si="72"/>
        <v>1.4</v>
      </c>
      <c r="M39" s="1" t="str">
        <f t="shared" si="72"/>
        <v>1.4</v>
      </c>
      <c r="N39" s="1" t="str">
        <f>"1.5"</f>
        <v>1.5</v>
      </c>
    </row>
    <row r="40">
      <c r="A40" s="1" t="str">
        <f>"Total Liabilities"</f>
        <v>Total Liabilities</v>
      </c>
      <c r="B40" s="1" t="str">
        <f t="shared" ref="B40:D40" si="73">"43.2"</f>
        <v>43.2</v>
      </c>
      <c r="C40" s="1" t="str">
        <f t="shared" si="73"/>
        <v>43.2</v>
      </c>
      <c r="D40" s="1" t="str">
        <f t="shared" si="73"/>
        <v>43.2</v>
      </c>
      <c r="E40" s="1" t="str">
        <f>"42.7"</f>
        <v>42.7</v>
      </c>
      <c r="F40" s="1" t="str">
        <f t="shared" ref="F40:H40" si="74">"43.3"</f>
        <v>43.3</v>
      </c>
      <c r="G40" s="1" t="str">
        <f t="shared" si="74"/>
        <v>43.3</v>
      </c>
      <c r="H40" s="1" t="str">
        <f t="shared" si="74"/>
        <v>43.3</v>
      </c>
      <c r="I40" s="1" t="str">
        <f>"42.8"</f>
        <v>42.8</v>
      </c>
      <c r="J40" s="1" t="str">
        <f>"44.1"</f>
        <v>44.1</v>
      </c>
      <c r="K40" s="1" t="str">
        <f>"44.0"</f>
        <v>44.0</v>
      </c>
      <c r="L40" s="1" t="str">
        <f>"43.8"</f>
        <v>43.8</v>
      </c>
      <c r="M40" s="1" t="str">
        <f>"43.4"</f>
        <v>43.4</v>
      </c>
      <c r="N40" s="1" t="str">
        <f>"45.5"</f>
        <v>45.5</v>
      </c>
    </row>
    <row r="41">
      <c r="A41" s="1" t="str">
        <f>"Common Stock"</f>
        <v>Common Stock</v>
      </c>
      <c r="B41" s="1" t="str">
        <f t="shared" ref="B41:N41" si="75">"0.1"</f>
        <v>0.1</v>
      </c>
      <c r="C41" s="1" t="str">
        <f t="shared" si="75"/>
        <v>0.1</v>
      </c>
      <c r="D41" s="1" t="str">
        <f t="shared" si="75"/>
        <v>0.1</v>
      </c>
      <c r="E41" s="1" t="str">
        <f t="shared" si="75"/>
        <v>0.1</v>
      </c>
      <c r="F41" s="1" t="str">
        <f t="shared" si="75"/>
        <v>0.1</v>
      </c>
      <c r="G41" s="1" t="str">
        <f t="shared" si="75"/>
        <v>0.1</v>
      </c>
      <c r="H41" s="1" t="str">
        <f t="shared" si="75"/>
        <v>0.1</v>
      </c>
      <c r="I41" s="1" t="str">
        <f t="shared" si="75"/>
        <v>0.1</v>
      </c>
      <c r="J41" s="1" t="str">
        <f t="shared" si="75"/>
        <v>0.1</v>
      </c>
      <c r="K41" s="1" t="str">
        <f t="shared" si="75"/>
        <v>0.1</v>
      </c>
      <c r="L41" s="1" t="str">
        <f t="shared" si="75"/>
        <v>0.1</v>
      </c>
      <c r="M41" s="1" t="str">
        <f t="shared" si="75"/>
        <v>0.1</v>
      </c>
      <c r="N41" s="1" t="str">
        <f t="shared" si="75"/>
        <v>0.1</v>
      </c>
    </row>
    <row r="42">
      <c r="A42" s="1" t="str">
        <f>"Additional Paid-In Capital"</f>
        <v>Additional Paid-In Capital</v>
      </c>
      <c r="B42" s="1" t="str">
        <f t="shared" ref="B42:N42" si="76">"12.5"</f>
        <v>12.5</v>
      </c>
      <c r="C42" s="1" t="str">
        <f t="shared" si="76"/>
        <v>12.5</v>
      </c>
      <c r="D42" s="1" t="str">
        <f t="shared" si="76"/>
        <v>12.5</v>
      </c>
      <c r="E42" s="1" t="str">
        <f t="shared" si="76"/>
        <v>12.5</v>
      </c>
      <c r="F42" s="1" t="str">
        <f t="shared" si="76"/>
        <v>12.5</v>
      </c>
      <c r="G42" s="1" t="str">
        <f t="shared" si="76"/>
        <v>12.5</v>
      </c>
      <c r="H42" s="1" t="str">
        <f t="shared" si="76"/>
        <v>12.5</v>
      </c>
      <c r="I42" s="1" t="str">
        <f t="shared" si="76"/>
        <v>12.5</v>
      </c>
      <c r="J42" s="1" t="str">
        <f t="shared" si="76"/>
        <v>12.5</v>
      </c>
      <c r="K42" s="1" t="str">
        <f t="shared" si="76"/>
        <v>12.5</v>
      </c>
      <c r="L42" s="1" t="str">
        <f t="shared" si="76"/>
        <v>12.5</v>
      </c>
      <c r="M42" s="1" t="str">
        <f t="shared" si="76"/>
        <v>12.5</v>
      </c>
      <c r="N42" s="1" t="str">
        <f t="shared" si="76"/>
        <v>12.5</v>
      </c>
    </row>
    <row r="43">
      <c r="A43" s="1" t="str">
        <f>"Retained Earnings"</f>
        <v>Retained Earnings</v>
      </c>
      <c r="B43" s="1" t="str">
        <f>"22.6"</f>
        <v>22.6</v>
      </c>
      <c r="C43" s="1" t="str">
        <f>"22.7"</f>
        <v>22.7</v>
      </c>
      <c r="D43" s="1" t="str">
        <f>"22.9"</f>
        <v>22.9</v>
      </c>
      <c r="E43" s="1" t="str">
        <f>"23.4"</f>
        <v>23.4</v>
      </c>
      <c r="F43" s="1" t="str">
        <f>"23.6"</f>
        <v>23.6</v>
      </c>
      <c r="G43" s="1" t="str">
        <f>"24.0"</f>
        <v>24.0</v>
      </c>
      <c r="H43" s="1" t="str">
        <f>"24.6"</f>
        <v>24.6</v>
      </c>
      <c r="I43" s="1" t="str">
        <f>"25.3"</f>
        <v>25.3</v>
      </c>
      <c r="J43" s="1" t="str">
        <f>"25.1"</f>
        <v>25.1</v>
      </c>
      <c r="K43" s="1" t="str">
        <f>"25.6"</f>
        <v>25.6</v>
      </c>
      <c r="L43" s="1" t="str">
        <f>"26.3"</f>
        <v>26.3</v>
      </c>
      <c r="M43" s="1" t="str">
        <f>"27.2"</f>
        <v>27.2</v>
      </c>
      <c r="N43" s="1" t="str">
        <f>"25.6"</f>
        <v>25.6</v>
      </c>
    </row>
    <row r="44">
      <c r="A44" s="1" t="str">
        <f>"Total Equity"</f>
        <v>Total Equity</v>
      </c>
      <c r="B44" s="1" t="str">
        <f>"35.2"</f>
        <v>35.2</v>
      </c>
      <c r="C44" s="1" t="str">
        <f>"35.3"</f>
        <v>35.3</v>
      </c>
      <c r="D44" s="1" t="str">
        <f>"35.5"</f>
        <v>35.5</v>
      </c>
      <c r="E44" s="1" t="str">
        <f>"36.0"</f>
        <v>36.0</v>
      </c>
      <c r="F44" s="1" t="str">
        <f>"36.2"</f>
        <v>36.2</v>
      </c>
      <c r="G44" s="1" t="str">
        <f>"36.6"</f>
        <v>36.6</v>
      </c>
      <c r="H44" s="1" t="str">
        <f>"37.2"</f>
        <v>37.2</v>
      </c>
      <c r="I44" s="1" t="str">
        <f>"37.9"</f>
        <v>37.9</v>
      </c>
      <c r="J44" s="1" t="str">
        <f>"37.7"</f>
        <v>37.7</v>
      </c>
      <c r="K44" s="1" t="str">
        <f>"38.2"</f>
        <v>38.2</v>
      </c>
      <c r="L44" s="1" t="str">
        <f>"38.9"</f>
        <v>38.9</v>
      </c>
      <c r="M44" s="1" t="str">
        <f>"39.8"</f>
        <v>39.8</v>
      </c>
      <c r="N44" s="1" t="str">
        <f>"38.2"</f>
        <v>38.2</v>
      </c>
    </row>
    <row r="45">
      <c r="A45" s="1" t="str">
        <f>"Total Liabilities &amp; Equity"</f>
        <v>Total Liabilities &amp; Equity</v>
      </c>
      <c r="B45" s="1" t="str">
        <f>"78.4"</f>
        <v>78.4</v>
      </c>
      <c r="C45" s="1" t="str">
        <f>"78.5"</f>
        <v>78.5</v>
      </c>
      <c r="D45" s="1" t="str">
        <f t="shared" ref="D45:E45" si="77">"78.7"</f>
        <v>78.7</v>
      </c>
      <c r="E45" s="1" t="str">
        <f t="shared" si="77"/>
        <v>78.7</v>
      </c>
      <c r="F45" s="1" t="str">
        <f>"79.5"</f>
        <v>79.5</v>
      </c>
      <c r="G45" s="1" t="str">
        <f>"79.9"</f>
        <v>79.9</v>
      </c>
      <c r="H45" s="1" t="str">
        <f>"80.5"</f>
        <v>80.5</v>
      </c>
      <c r="I45" s="1" t="str">
        <f>"80.7"</f>
        <v>80.7</v>
      </c>
      <c r="J45" s="1" t="str">
        <f>"81.8"</f>
        <v>81.8</v>
      </c>
      <c r="K45" s="1" t="str">
        <f>"82.2"</f>
        <v>82.2</v>
      </c>
      <c r="L45" s="1" t="str">
        <f>"82.7"</f>
        <v>82.7</v>
      </c>
      <c r="M45" s="1" t="str">
        <f>"83.2"</f>
        <v>83.2</v>
      </c>
      <c r="N45" s="1" t="str">
        <f>"83.7"</f>
        <v>83.7</v>
      </c>
    </row>
    <row r="46">
      <c r="A46" s="1" t="str">
        <f>"Net Working Capital"</f>
        <v>Net Working Capital</v>
      </c>
      <c r="B46" s="1" t="str">
        <f>"10.9"</f>
        <v>10.9</v>
      </c>
      <c r="C46" s="1" t="str">
        <f>"11.2"</f>
        <v>11.2</v>
      </c>
      <c r="D46" s="1" t="str">
        <f>"11.4"</f>
        <v>11.4</v>
      </c>
      <c r="E46" s="1" t="str">
        <f>"11.8"</f>
        <v>11.8</v>
      </c>
      <c r="F46" s="1" t="str">
        <f>"12.1"</f>
        <v>12.1</v>
      </c>
      <c r="G46" s="1" t="str">
        <f>"12.4"</f>
        <v>12.4</v>
      </c>
      <c r="H46" s="1" t="str">
        <f>"12.8"</f>
        <v>12.8</v>
      </c>
      <c r="I46" s="1" t="str">
        <f>"13.1"</f>
        <v>13.1</v>
      </c>
      <c r="J46" s="1" t="str">
        <f>"13.4"</f>
        <v>13.4</v>
      </c>
      <c r="K46" s="1" t="str">
        <f>"13.7"</f>
        <v>13.7</v>
      </c>
      <c r="L46" s="1" t="str">
        <f>"14.1"</f>
        <v>14.1</v>
      </c>
      <c r="M46" s="1" t="str">
        <f>"14.5"</f>
        <v>14.5</v>
      </c>
      <c r="N46" s="1" t="str">
        <f>"14.7"</f>
        <v>14.7</v>
      </c>
    </row>
    <row r="47">
      <c r="A47" s="1" t="str">
        <f>"Net Debt"</f>
        <v>Net Debt</v>
      </c>
      <c r="B47" s="1" t="str">
        <f>"20.1"</f>
        <v>20.1</v>
      </c>
      <c r="C47" s="1" t="str">
        <f>"19.4"</f>
        <v>19.4</v>
      </c>
      <c r="D47" s="1" t="str">
        <f>"18.5"</f>
        <v>18.5</v>
      </c>
      <c r="E47" s="1" t="str">
        <f>"17.6"</f>
        <v>17.6</v>
      </c>
      <c r="F47" s="1" t="str">
        <f>"17.2"</f>
        <v>17.2</v>
      </c>
      <c r="G47" s="1" t="str">
        <f>"16.4"</f>
        <v>16.4</v>
      </c>
      <c r="H47" s="1" t="str">
        <f>"15.5"</f>
        <v>15.5</v>
      </c>
      <c r="I47" s="1" t="str">
        <f>"14.7"</f>
        <v>14.7</v>
      </c>
      <c r="J47" s="1" t="str">
        <f>"15.0"</f>
        <v>15.0</v>
      </c>
      <c r="K47" s="1" t="str">
        <f>"14.2"</f>
        <v>14.2</v>
      </c>
      <c r="L47" s="1" t="str">
        <f>"13.3"</f>
        <v>13.3</v>
      </c>
      <c r="M47" s="1" t="str">
        <f>"12.5"</f>
        <v>12.5</v>
      </c>
      <c r="N47" s="1" t="str">
        <f>"13.6"</f>
        <v>13.6</v>
      </c>
    </row>
    <row r="48">
      <c r="A48" s="1" t="str">
        <f>"Capex"</f>
        <v>Capex</v>
      </c>
      <c r="B48" s="1" t="str">
        <f t="shared" ref="B48:E48" si="78">"0.8"</f>
        <v>0.8</v>
      </c>
      <c r="C48" s="1" t="str">
        <f t="shared" si="78"/>
        <v>0.8</v>
      </c>
      <c r="D48" s="1" t="str">
        <f t="shared" si="78"/>
        <v>0.8</v>
      </c>
      <c r="E48" s="1" t="str">
        <f t="shared" si="78"/>
        <v>0.8</v>
      </c>
      <c r="F48" s="1" t="str">
        <f t="shared" ref="F48:I48" si="79">"0.9"</f>
        <v>0.9</v>
      </c>
      <c r="G48" s="1" t="str">
        <f t="shared" si="79"/>
        <v>0.9</v>
      </c>
      <c r="H48" s="1" t="str">
        <f t="shared" si="79"/>
        <v>0.9</v>
      </c>
      <c r="I48" s="1" t="str">
        <f t="shared" si="79"/>
        <v>0.9</v>
      </c>
      <c r="J48" s="1" t="str">
        <f t="shared" ref="J48:N48" si="80">"1.0"</f>
        <v>1.0</v>
      </c>
      <c r="K48" s="1" t="str">
        <f t="shared" si="80"/>
        <v>1.0</v>
      </c>
      <c r="L48" s="1" t="str">
        <f t="shared" si="80"/>
        <v>1.0</v>
      </c>
      <c r="M48" s="1" t="str">
        <f t="shared" si="80"/>
        <v>1.0</v>
      </c>
      <c r="N48" s="1" t="str">
        <f t="shared" si="80"/>
        <v>1.0</v>
      </c>
    </row>
    <row r="49">
      <c r="A49" s="1" t="str">
        <f>"Maintenance Capex"</f>
        <v>Maintenance Capex</v>
      </c>
      <c r="B49" s="1" t="str">
        <f t="shared" ref="B49:I49" si="81">"0.5"</f>
        <v>0.5</v>
      </c>
      <c r="C49" s="1" t="str">
        <f t="shared" si="81"/>
        <v>0.5</v>
      </c>
      <c r="D49" s="1" t="str">
        <f t="shared" si="81"/>
        <v>0.5</v>
      </c>
      <c r="E49" s="1" t="str">
        <f t="shared" si="81"/>
        <v>0.5</v>
      </c>
      <c r="F49" s="1" t="str">
        <f t="shared" si="81"/>
        <v>0.5</v>
      </c>
      <c r="G49" s="1" t="str">
        <f t="shared" si="81"/>
        <v>0.5</v>
      </c>
      <c r="H49" s="1" t="str">
        <f t="shared" si="81"/>
        <v>0.5</v>
      </c>
      <c r="I49" s="1" t="str">
        <f t="shared" si="81"/>
        <v>0.5</v>
      </c>
      <c r="J49" s="1" t="str">
        <f t="shared" ref="J49:N49" si="82">"0.6"</f>
        <v>0.6</v>
      </c>
      <c r="K49" s="1" t="str">
        <f t="shared" si="82"/>
        <v>0.6</v>
      </c>
      <c r="L49" s="1" t="str">
        <f t="shared" si="82"/>
        <v>0.6</v>
      </c>
      <c r="M49" s="1" t="str">
        <f t="shared" si="82"/>
        <v>0.6</v>
      </c>
      <c r="N49" s="1" t="str">
        <f t="shared" si="82"/>
        <v>0.6</v>
      </c>
    </row>
    <row r="50">
      <c r="A50" s="1" t="str">
        <f>"Growth Capex"</f>
        <v>Growth Capex</v>
      </c>
      <c r="B50" s="1" t="str">
        <f t="shared" ref="B50:E50" si="83">"0.3"</f>
        <v>0.3</v>
      </c>
      <c r="C50" s="1" t="str">
        <f t="shared" si="83"/>
        <v>0.3</v>
      </c>
      <c r="D50" s="1" t="str">
        <f t="shared" si="83"/>
        <v>0.3</v>
      </c>
      <c r="E50" s="1" t="str">
        <f t="shared" si="83"/>
        <v>0.3</v>
      </c>
      <c r="F50" s="1" t="str">
        <f t="shared" ref="F50:N50" si="84">"0.4"</f>
        <v>0.4</v>
      </c>
      <c r="G50" s="1" t="str">
        <f t="shared" si="84"/>
        <v>0.4</v>
      </c>
      <c r="H50" s="1" t="str">
        <f t="shared" si="84"/>
        <v>0.4</v>
      </c>
      <c r="I50" s="1" t="str">
        <f t="shared" si="84"/>
        <v>0.4</v>
      </c>
      <c r="J50" s="1" t="str">
        <f t="shared" si="84"/>
        <v>0.4</v>
      </c>
      <c r="K50" s="1" t="str">
        <f t="shared" si="84"/>
        <v>0.4</v>
      </c>
      <c r="L50" s="1" t="str">
        <f t="shared" si="84"/>
        <v>0.4</v>
      </c>
      <c r="M50" s="1" t="str">
        <f t="shared" si="84"/>
        <v>0.4</v>
      </c>
      <c r="N50" s="1" t="str">
        <f t="shared" si="84"/>
        <v>0.4</v>
      </c>
    </row>
    <row r="51">
      <c r="A51" s="1" t="str">
        <f>"Operating Cash Flow"</f>
        <v>Operating Cash Flow</v>
      </c>
      <c r="B51" s="1" t="str">
        <f>"2.2"</f>
        <v>2.2</v>
      </c>
      <c r="C51" s="1" t="str">
        <f>"2.3"</f>
        <v>2.3</v>
      </c>
      <c r="D51" s="1" t="str">
        <f t="shared" ref="D51:E51" si="85">"2.4"</f>
        <v>2.4</v>
      </c>
      <c r="E51" s="1" t="str">
        <f t="shared" si="85"/>
        <v>2.4</v>
      </c>
      <c r="F51" s="1" t="str">
        <f>"2.5"</f>
        <v>2.5</v>
      </c>
      <c r="G51" s="1" t="str">
        <f>"2.6"</f>
        <v>2.6</v>
      </c>
      <c r="H51" s="1" t="str">
        <f t="shared" ref="H51:I51" si="86">"2.7"</f>
        <v>2.7</v>
      </c>
      <c r="I51" s="1" t="str">
        <f t="shared" si="86"/>
        <v>2.7</v>
      </c>
      <c r="J51" s="1" t="str">
        <f>"2.8"</f>
        <v>2.8</v>
      </c>
      <c r="K51" s="1" t="str">
        <f>"3.0"</f>
        <v>3.0</v>
      </c>
      <c r="L51" s="1" t="str">
        <f t="shared" ref="L51:M51" si="87">"3.1"</f>
        <v>3.1</v>
      </c>
      <c r="M51" s="1" t="str">
        <f t="shared" si="87"/>
        <v>3.1</v>
      </c>
      <c r="N51" s="1" t="str">
        <f>"3.2"</f>
        <v>3.2</v>
      </c>
    </row>
    <row r="52">
      <c r="A52" s="1" t="str">
        <f>"Free Cash Flow"</f>
        <v>Free Cash Flow</v>
      </c>
      <c r="B52" s="1" t="str">
        <f>"1.4"</f>
        <v>1.4</v>
      </c>
      <c r="C52" s="1" t="str">
        <f>"1.5"</f>
        <v>1.5</v>
      </c>
      <c r="D52" s="1" t="str">
        <f t="shared" ref="D52:F52" si="88">"1.6"</f>
        <v>1.6</v>
      </c>
      <c r="E52" s="1" t="str">
        <f t="shared" si="88"/>
        <v>1.6</v>
      </c>
      <c r="F52" s="1" t="str">
        <f t="shared" si="88"/>
        <v>1.6</v>
      </c>
      <c r="G52" s="1" t="str">
        <f>"1.7"</f>
        <v>1.7</v>
      </c>
      <c r="H52" s="1" t="str">
        <f t="shared" ref="H52:J52" si="89">"1.8"</f>
        <v>1.8</v>
      </c>
      <c r="I52" s="1" t="str">
        <f t="shared" si="89"/>
        <v>1.8</v>
      </c>
      <c r="J52" s="1" t="str">
        <f t="shared" si="89"/>
        <v>1.8</v>
      </c>
      <c r="K52" s="1" t="str">
        <f>"2.0"</f>
        <v>2.0</v>
      </c>
      <c r="L52" s="1" t="str">
        <f t="shared" ref="L52:M52" si="90">"2.1"</f>
        <v>2.1</v>
      </c>
      <c r="M52" s="1" t="str">
        <f t="shared" si="90"/>
        <v>2.1</v>
      </c>
      <c r="N52" s="1" t="str">
        <f>"2.2"</f>
        <v>2.2</v>
      </c>
    </row>
    <row r="53">
      <c r="A53" s="1" t="str">
        <f>"Same-Store Sales Growth"</f>
        <v>Same-Store Sales Growth</v>
      </c>
      <c r="B53" s="1" t="str">
        <f>"5.1%"</f>
        <v>5.1%</v>
      </c>
      <c r="C53" s="1" t="str">
        <f>"5.2%"</f>
        <v>5.2%</v>
      </c>
      <c r="D53" s="1" t="str">
        <f>"5.3%"</f>
        <v>5.3%</v>
      </c>
      <c r="E53" s="1" t="str">
        <f>"5.4%"</f>
        <v>5.4%</v>
      </c>
      <c r="F53" s="1" t="str">
        <f>"5.5%"</f>
        <v>5.5%</v>
      </c>
      <c r="G53" s="1" t="str">
        <f>"5.4%"</f>
        <v>5.4%</v>
      </c>
      <c r="H53" s="1" t="str">
        <f>"5.3%"</f>
        <v>5.3%</v>
      </c>
      <c r="I53" s="1" t="str">
        <f>"5.1%"</f>
        <v>5.1%</v>
      </c>
      <c r="J53" s="1" t="str">
        <f>"5.0%"</f>
        <v>5.0%</v>
      </c>
      <c r="K53" s="1" t="str">
        <f>"4.9%"</f>
        <v>4.9%</v>
      </c>
      <c r="L53" s="1" t="str">
        <f>"4.8%"</f>
        <v>4.8%</v>
      </c>
      <c r="M53" s="1" t="str">
        <f>"4.7%"</f>
        <v>4.7%</v>
      </c>
      <c r="N53" s="1" t="str">
        <f>"5.0%"</f>
        <v>5.0%</v>
      </c>
    </row>
    <row r="54">
      <c r="A54" s="1" t="str">
        <f>"Store Count"</f>
        <v>Store Count</v>
      </c>
      <c r="B54" s="1" t="str">
        <f t="shared" ref="B54:E54" si="91">"14"</f>
        <v>14</v>
      </c>
      <c r="C54" s="1" t="str">
        <f t="shared" si="91"/>
        <v>14</v>
      </c>
      <c r="D54" s="1" t="str">
        <f t="shared" si="91"/>
        <v>14</v>
      </c>
      <c r="E54" s="1" t="str">
        <f t="shared" si="91"/>
        <v>14</v>
      </c>
      <c r="F54" s="1" t="str">
        <f t="shared" ref="F54:I54" si="92">"15"</f>
        <v>15</v>
      </c>
      <c r="G54" s="1" t="str">
        <f t="shared" si="92"/>
        <v>15</v>
      </c>
      <c r="H54" s="1" t="str">
        <f t="shared" si="92"/>
        <v>15</v>
      </c>
      <c r="I54" s="1" t="str">
        <f t="shared" si="92"/>
        <v>15</v>
      </c>
      <c r="J54" s="1" t="str">
        <f t="shared" ref="J54:K54" si="93">"16"</f>
        <v>16</v>
      </c>
      <c r="K54" s="1" t="str">
        <f t="shared" si="93"/>
        <v>16</v>
      </c>
      <c r="L54" s="1" t="str">
        <f t="shared" ref="L54:N54" si="94">"17"</f>
        <v>17</v>
      </c>
      <c r="M54" s="1" t="str">
        <f t="shared" si="94"/>
        <v>17</v>
      </c>
      <c r="N54" s="1" t="str">
        <f t="shared" si="94"/>
        <v>17</v>
      </c>
    </row>
    <row r="55">
      <c r="A55" s="1" t="str">
        <f>"New Store Openings"</f>
        <v>New Store Openings</v>
      </c>
      <c r="B55" s="1" t="str">
        <f t="shared" ref="B55:E55" si="95">"0"</f>
        <v>0</v>
      </c>
      <c r="C55" s="1" t="str">
        <f t="shared" si="95"/>
        <v>0</v>
      </c>
      <c r="D55" s="1" t="str">
        <f t="shared" si="95"/>
        <v>0</v>
      </c>
      <c r="E55" s="1" t="str">
        <f t="shared" si="95"/>
        <v>0</v>
      </c>
      <c r="F55" s="1" t="str">
        <f>"1"</f>
        <v>1</v>
      </c>
      <c r="G55" s="1" t="str">
        <f t="shared" ref="G55:I55" si="96">"0"</f>
        <v>0</v>
      </c>
      <c r="H55" s="1" t="str">
        <f t="shared" si="96"/>
        <v>0</v>
      </c>
      <c r="I55" s="1" t="str">
        <f t="shared" si="96"/>
        <v>0</v>
      </c>
      <c r="J55" s="1" t="str">
        <f>"1"</f>
        <v>1</v>
      </c>
      <c r="K55" s="1" t="str">
        <f>"0"</f>
        <v>0</v>
      </c>
      <c r="L55" s="1" t="str">
        <f>"1"</f>
        <v>1</v>
      </c>
      <c r="M55" s="1" t="str">
        <f t="shared" ref="M55:N55" si="97">"0"</f>
        <v>0</v>
      </c>
      <c r="N55" s="1" t="str">
        <f t="shared" si="97"/>
        <v>0</v>
      </c>
    </row>
    <row r="56">
      <c r="A56" s="1" t="str">
        <f>"E-commerce Sales"</f>
        <v>E-commerce Sales</v>
      </c>
      <c r="B56" s="1" t="str">
        <f>"2.7"</f>
        <v>2.7</v>
      </c>
      <c r="C56" s="1" t="str">
        <f>"2.8"</f>
        <v>2.8</v>
      </c>
      <c r="D56" s="1" t="str">
        <f>"2.9"</f>
        <v>2.9</v>
      </c>
      <c r="E56" s="1" t="str">
        <f>"3.1"</f>
        <v>3.1</v>
      </c>
      <c r="F56" s="1" t="str">
        <f>"3.3"</f>
        <v>3.3</v>
      </c>
      <c r="G56" s="1" t="str">
        <f>"3.5"</f>
        <v>3.5</v>
      </c>
      <c r="H56" s="1" t="str">
        <f>"3.6"</f>
        <v>3.6</v>
      </c>
      <c r="I56" s="1" t="str">
        <f>"3.8"</f>
        <v>3.8</v>
      </c>
      <c r="J56" s="1" t="str">
        <f>"4.0"</f>
        <v>4.0</v>
      </c>
      <c r="K56" s="1" t="str">
        <f>"4.2"</f>
        <v>4.2</v>
      </c>
      <c r="L56" s="1" t="str">
        <f>"4.4"</f>
        <v>4.4</v>
      </c>
      <c r="M56" s="1" t="str">
        <f>"4.5"</f>
        <v>4.5</v>
      </c>
      <c r="N56" s="1" t="str">
        <f>"4.6"</f>
        <v>4.6</v>
      </c>
    </row>
    <row r="57">
      <c r="A57" s="1" t="str">
        <f>"E-commerce % of Total Revenue"</f>
        <v>E-commerce % of Total Revenue</v>
      </c>
      <c r="B57" s="1" t="str">
        <f>"14.8%"</f>
        <v>14.8%</v>
      </c>
      <c r="C57" s="1" t="str">
        <f>"14.9%"</f>
        <v>14.9%</v>
      </c>
      <c r="D57" s="1" t="str">
        <f>"15.0%"</f>
        <v>15.0%</v>
      </c>
      <c r="E57" s="1" t="str">
        <f>"16.1%"</f>
        <v>16.1%</v>
      </c>
      <c r="F57" s="1" t="str">
        <f>"16.7%"</f>
        <v>16.7%</v>
      </c>
      <c r="G57" s="1" t="str">
        <f t="shared" ref="G57:H57" si="98">"17.1%"</f>
        <v>17.1%</v>
      </c>
      <c r="H57" s="1" t="str">
        <f t="shared" si="98"/>
        <v>17.1%</v>
      </c>
      <c r="I57" s="1" t="str">
        <f>"18.2%"</f>
        <v>18.2%</v>
      </c>
      <c r="J57" s="1" t="str">
        <f>"18.6%"</f>
        <v>18.6%</v>
      </c>
      <c r="K57" s="1" t="str">
        <f>"19.2%"</f>
        <v>19.2%</v>
      </c>
      <c r="L57" s="1" t="str">
        <f>"19.8%"</f>
        <v>19.8%</v>
      </c>
      <c r="M57" s="1" t="str">
        <f>"20.2%"</f>
        <v>20.2%</v>
      </c>
      <c r="N57" s="1" t="str">
        <f>"20.3%"</f>
        <v>20.3%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"Company_Name"</f>
        <v>Company_Name</v>
      </c>
      <c r="B1" s="1" t="str">
        <f>"Revenue_2022_MM"</f>
        <v>Revenue_2022_MM</v>
      </c>
      <c r="C1" s="1" t="str">
        <f>"Revenue_2023_MM"</f>
        <v>Revenue_2023_MM</v>
      </c>
      <c r="D1" s="1" t="str">
        <f>"Revenue_2024_MM"</f>
        <v>Revenue_2024_MM</v>
      </c>
      <c r="E1" s="1" t="str">
        <f>"Revenue_LTM_MM"</f>
        <v>Revenue_LTM_MM</v>
      </c>
      <c r="F1" s="1" t="str">
        <f>"Revenue_CAGR_3YR"</f>
        <v>Revenue_CAGR_3YR</v>
      </c>
      <c r="G1" s="1" t="str">
        <f>"EBITDA_2022_MM"</f>
        <v>EBITDA_2022_MM</v>
      </c>
      <c r="H1" s="1" t="str">
        <f>"EBITDA_2023_MM"</f>
        <v>EBITDA_2023_MM</v>
      </c>
      <c r="I1" s="1" t="str">
        <f>"EBITDA_2024_MM"</f>
        <v>EBITDA_2024_MM</v>
      </c>
      <c r="J1" s="1" t="str">
        <f>"EBITDA_LTM_MM"</f>
        <v>EBITDA_LTM_MM</v>
      </c>
      <c r="K1" s="1" t="str">
        <f>"EBITDA_Margin_LTM"</f>
        <v>EBITDA_Margin_LTM</v>
      </c>
      <c r="L1" s="1" t="str">
        <f>"Gross_Margin_LTM"</f>
        <v>Gross_Margin_LTM</v>
      </c>
      <c r="M1" s="1" t="str">
        <f>"SG&amp;A_as_Percent_Revenue"</f>
        <v>SG&amp;A_as_Percent_Revenue</v>
      </c>
      <c r="N1" s="1" t="str">
        <f>"Store_Count"</f>
        <v>Store_Count</v>
      </c>
      <c r="O1" s="1" t="str">
        <f>"Avg_Revenue_Per_Store_MM"</f>
        <v>Avg_Revenue_Per_Store_MM</v>
      </c>
      <c r="P1" s="1" t="str">
        <f>"E-commerce_Percent_Revenue"</f>
        <v>E-commerce_Percent_Revenue</v>
      </c>
      <c r="Q1" s="1" t="str">
        <f>"Capex_LTM_MM"</f>
        <v>Capex_LTM_MM</v>
      </c>
      <c r="R1" s="1" t="str">
        <f>"Net_Working_Capital_MM"</f>
        <v>Net_Working_Capital_MM</v>
      </c>
      <c r="S1" s="1" t="str">
        <f>"Total_Debt_MM"</f>
        <v>Total_Debt_MM</v>
      </c>
      <c r="T1" s="1" t="str">
        <f>"Real_Estate_Owned_Value_MM"</f>
        <v>Real_Estate_Owned_Value_MM</v>
      </c>
      <c r="U1" s="1" t="str">
        <f>"Customer_Acquisition_Cost"</f>
        <v>Customer_Acquisition_Cost</v>
      </c>
      <c r="V1" s="1" t="str">
        <f>"Customer_Lifetime_Value"</f>
        <v>Customer_Lifetime_Value</v>
      </c>
      <c r="W1" s="1" t="str">
        <f>"Inventory_Turnover"</f>
        <v>Inventory_Turnover</v>
      </c>
    </row>
    <row r="2">
      <c r="A2" s="1" t="str">
        <f>"UrbanRetail Partners"</f>
        <v>UrbanRetail Partners</v>
      </c>
      <c r="B2" s="1" t="str">
        <f>"32.5"</f>
        <v>32.5</v>
      </c>
      <c r="C2" s="1" t="str">
        <f>"36.8"</f>
        <v>36.8</v>
      </c>
      <c r="D2" s="1" t="str">
        <f>"40.6"</f>
        <v>40.6</v>
      </c>
      <c r="E2" s="1" t="str">
        <f>"42.8"</f>
        <v>42.8</v>
      </c>
      <c r="F2" s="1" t="str">
        <f>"8.3%"</f>
        <v>8.3%</v>
      </c>
      <c r="G2" s="1" t="str">
        <f>"5.2"</f>
        <v>5.2</v>
      </c>
      <c r="H2" s="1" t="str">
        <f>"5.9"</f>
        <v>5.9</v>
      </c>
      <c r="I2" s="1" t="str">
        <f>"6.7"</f>
        <v>6.7</v>
      </c>
      <c r="J2" s="1" t="str">
        <f>"7.1"</f>
        <v>7.1</v>
      </c>
      <c r="K2" s="1" t="str">
        <f>"16.5%"</f>
        <v>16.5%</v>
      </c>
      <c r="L2" s="1" t="str">
        <f>"42.8%"</f>
        <v>42.8%</v>
      </c>
      <c r="M2" s="1" t="str">
        <f>"26.3%"</f>
        <v>26.3%</v>
      </c>
      <c r="N2" s="1" t="str">
        <f>"23"</f>
        <v>23</v>
      </c>
      <c r="O2" s="1" t="str">
        <f>"1.86"</f>
        <v>1.86</v>
      </c>
      <c r="P2" s="1" t="str">
        <f>"28.5%"</f>
        <v>28.5%</v>
      </c>
      <c r="Q2" s="1" t="str">
        <f>"1.2"</f>
        <v>1.2</v>
      </c>
      <c r="R2" s="1" t="str">
        <f>"6.4"</f>
        <v>6.4</v>
      </c>
      <c r="S2" s="1" t="str">
        <f>"12.5"</f>
        <v>12.5</v>
      </c>
      <c r="T2" s="1" t="str">
        <f>"0"</f>
        <v>0</v>
      </c>
      <c r="U2" s="1" t="str">
        <f>"42"</f>
        <v>42</v>
      </c>
      <c r="V2" s="1" t="str">
        <f>"215"</f>
        <v>215</v>
      </c>
      <c r="W2" s="1" t="str">
        <f>"4.2"</f>
        <v>4.2</v>
      </c>
    </row>
    <row r="3">
      <c r="A3" s="1" t="str">
        <f>"Luminance Home Goods"</f>
        <v>Luminance Home Goods</v>
      </c>
      <c r="B3" s="1" t="str">
        <f>"60.5"</f>
        <v>60.5</v>
      </c>
      <c r="C3" s="1" t="str">
        <f>"68.7"</f>
        <v>68.7</v>
      </c>
      <c r="D3" s="1" t="str">
        <f>"73.9"</f>
        <v>73.9</v>
      </c>
      <c r="E3" s="1" t="str">
        <f>"76.3"</f>
        <v>76.3</v>
      </c>
      <c r="F3" s="1" t="str">
        <f>"12.1%"</f>
        <v>12.1%</v>
      </c>
      <c r="G3" s="1" t="str">
        <f>"10.3"</f>
        <v>10.3</v>
      </c>
      <c r="H3" s="1" t="str">
        <f>"11.8"</f>
        <v>11.8</v>
      </c>
      <c r="I3" s="1" t="str">
        <f>"13.0"</f>
        <v>13.0</v>
      </c>
      <c r="J3" s="1" t="str">
        <f>"13.5"</f>
        <v>13.5</v>
      </c>
      <c r="K3" s="1" t="str">
        <f>"17.7%"</f>
        <v>17.7%</v>
      </c>
      <c r="L3" s="1" t="str">
        <f>"48.2%"</f>
        <v>48.2%</v>
      </c>
      <c r="M3" s="1" t="str">
        <f>"30.5%"</f>
        <v>30.5%</v>
      </c>
      <c r="N3" s="1" t="str">
        <f>"42"</f>
        <v>42</v>
      </c>
      <c r="O3" s="1" t="str">
        <f>"1.82"</f>
        <v>1.82</v>
      </c>
      <c r="P3" s="1" t="str">
        <f>"35.0%"</f>
        <v>35.0%</v>
      </c>
      <c r="Q3" s="1" t="str">
        <f>"2.8"</f>
        <v>2.8</v>
      </c>
      <c r="R3" s="1" t="str">
        <f>"12.1"</f>
        <v>12.1</v>
      </c>
      <c r="S3" s="1" t="str">
        <f>"28.6"</f>
        <v>28.6</v>
      </c>
      <c r="T3" s="1" t="str">
        <f>"14.5"</f>
        <v>14.5</v>
      </c>
      <c r="U3" s="1" t="str">
        <f>"78"</f>
        <v>78</v>
      </c>
      <c r="V3" s="1" t="str">
        <f>"380"</f>
        <v>380</v>
      </c>
      <c r="W3" s="1" t="str">
        <f>"3.8"</f>
        <v>3.8</v>
      </c>
    </row>
    <row r="4">
      <c r="A4" s="1" t="str">
        <f>"Fresh Horizon Foods"</f>
        <v>Fresh Horizon Foods</v>
      </c>
      <c r="B4" s="1" t="str">
        <f>"75.6"</f>
        <v>75.6</v>
      </c>
      <c r="C4" s="1" t="str">
        <f>"82.3"</f>
        <v>82.3</v>
      </c>
      <c r="D4" s="1" t="str">
        <f>"87.9"</f>
        <v>87.9</v>
      </c>
      <c r="E4" s="1" t="str">
        <f>"91.2"</f>
        <v>91.2</v>
      </c>
      <c r="F4" s="1" t="str">
        <f>"9.7%"</f>
        <v>9.7%</v>
      </c>
      <c r="G4" s="1" t="str">
        <f>"10.1"</f>
        <v>10.1</v>
      </c>
      <c r="H4" s="1" t="str">
        <f>"11.1"</f>
        <v>11.1</v>
      </c>
      <c r="I4" s="1" t="str">
        <f>"12.0"</f>
        <v>12.0</v>
      </c>
      <c r="J4" s="1" t="str">
        <f>"12.7"</f>
        <v>12.7</v>
      </c>
      <c r="K4" s="1" t="str">
        <f>"13.9%"</f>
        <v>13.9%</v>
      </c>
      <c r="L4" s="1" t="str">
        <f>"38.5%"</f>
        <v>38.5%</v>
      </c>
      <c r="M4" s="1" t="str">
        <f>"24.6%"</f>
        <v>24.6%</v>
      </c>
      <c r="N4" s="1" t="str">
        <f>"17"</f>
        <v>17</v>
      </c>
      <c r="O4" s="1" t="str">
        <f>"5.36"</f>
        <v>5.36</v>
      </c>
      <c r="P4" s="1" t="str">
        <f>"18.2%"</f>
        <v>18.2%</v>
      </c>
      <c r="Q4" s="1" t="str">
        <f>"3.5"</f>
        <v>3.5</v>
      </c>
      <c r="R4" s="1" t="str">
        <f>"14.7"</f>
        <v>14.7</v>
      </c>
      <c r="S4" s="1" t="str">
        <f>"22.8"</f>
        <v>22.8</v>
      </c>
      <c r="T4" s="1" t="str">
        <f>"32.4"</f>
        <v>32.4</v>
      </c>
      <c r="U4" s="1" t="str">
        <f>"65"</f>
        <v>65</v>
      </c>
      <c r="V4" s="1" t="str">
        <f>"275"</f>
        <v>275</v>
      </c>
      <c r="W4" s="1" t="str">
        <f>"12.5"</f>
        <v>12.5</v>
      </c>
    </row>
    <row r="5">
      <c r="A5" s="1" t="str">
        <f>"Athletic Avenue"</f>
        <v>Athletic Avenue</v>
      </c>
      <c r="B5" s="1" t="str">
        <f>"89.5"</f>
        <v>89.5</v>
      </c>
      <c r="C5" s="1" t="str">
        <f>"102.8"</f>
        <v>102.8</v>
      </c>
      <c r="D5" s="1" t="str">
        <f>"114.6"</f>
        <v>114.6</v>
      </c>
      <c r="E5" s="1" t="str">
        <f>"118.4"</f>
        <v>118.4</v>
      </c>
      <c r="F5" s="1" t="str">
        <f>"15.2%"</f>
        <v>15.2%</v>
      </c>
      <c r="G5" s="1" t="str">
        <f>"15.7"</f>
        <v>15.7</v>
      </c>
      <c r="H5" s="1" t="str">
        <f>"18.2"</f>
        <v>18.2</v>
      </c>
      <c r="I5" s="1" t="str">
        <f>"20.6"</f>
        <v>20.6</v>
      </c>
      <c r="J5" s="1" t="str">
        <f>"21.3"</f>
        <v>21.3</v>
      </c>
      <c r="K5" s="1" t="str">
        <f>"18.0%"</f>
        <v>18.0%</v>
      </c>
      <c r="L5" s="1" t="str">
        <f>"45.3%"</f>
        <v>45.3%</v>
      </c>
      <c r="M5" s="1" t="str">
        <f>"27.3%"</f>
        <v>27.3%</v>
      </c>
      <c r="N5" s="1" t="str">
        <f>"37"</f>
        <v>37</v>
      </c>
      <c r="O5" s="1" t="str">
        <f>"3.20"</f>
        <v>3.20</v>
      </c>
      <c r="P5" s="1" t="str">
        <f>"32.5%"</f>
        <v>32.5%</v>
      </c>
      <c r="Q5" s="1" t="str">
        <f>"4.2"</f>
        <v>4.2</v>
      </c>
      <c r="R5" s="1" t="str">
        <f>"19.5"</f>
        <v>19.5</v>
      </c>
      <c r="S5" s="1" t="str">
        <f>"42.6"</f>
        <v>42.6</v>
      </c>
      <c r="T5" s="1" t="str">
        <f t="shared" ref="T5:T7" si="1">"0"</f>
        <v>0</v>
      </c>
      <c r="U5" s="1" t="str">
        <f>"86"</f>
        <v>86</v>
      </c>
      <c r="V5" s="1" t="str">
        <f>"430"</f>
        <v>430</v>
      </c>
      <c r="W5" s="1" t="str">
        <f>"5.2"</f>
        <v>5.2</v>
      </c>
    </row>
    <row r="6">
      <c r="A6" s="1" t="str">
        <f>"TechGadget World"</f>
        <v>TechGadget World</v>
      </c>
      <c r="B6" s="1" t="str">
        <f>"125.4"</f>
        <v>125.4</v>
      </c>
      <c r="C6" s="1" t="str">
        <f>"134.2"</f>
        <v>134.2</v>
      </c>
      <c r="D6" s="1" t="str">
        <f>"139.6"</f>
        <v>139.6</v>
      </c>
      <c r="E6" s="1" t="str">
        <f>"142.7"</f>
        <v>142.7</v>
      </c>
      <c r="F6" s="1" t="str">
        <f>"6.8%"</f>
        <v>6.8%</v>
      </c>
      <c r="G6" s="1" t="str">
        <f>"17.2"</f>
        <v>17.2</v>
      </c>
      <c r="H6" s="1" t="str">
        <f>"18.4"</f>
        <v>18.4</v>
      </c>
      <c r="I6" s="1" t="str">
        <f>"19.3"</f>
        <v>19.3</v>
      </c>
      <c r="J6" s="1" t="str">
        <f>"19.8"</f>
        <v>19.8</v>
      </c>
      <c r="K6" s="1" t="str">
        <f>"13.9%"</f>
        <v>13.9%</v>
      </c>
      <c r="L6" s="1" t="str">
        <f>"34.7%"</f>
        <v>34.7%</v>
      </c>
      <c r="M6" s="1" t="str">
        <f>"20.8%"</f>
        <v>20.8%</v>
      </c>
      <c r="N6" s="1" t="str">
        <f>"28"</f>
        <v>28</v>
      </c>
      <c r="O6" s="1" t="str">
        <f>"5.10"</f>
        <v>5.10</v>
      </c>
      <c r="P6" s="1" t="str">
        <f>"42.7%"</f>
        <v>42.7%</v>
      </c>
      <c r="Q6" s="1" t="str">
        <f>"3.8"</f>
        <v>3.8</v>
      </c>
      <c r="R6" s="1" t="str">
        <f>"27.8"</f>
        <v>27.8</v>
      </c>
      <c r="S6" s="1" t="str">
        <f>"58.4"</f>
        <v>58.4</v>
      </c>
      <c r="T6" s="1" t="str">
        <f t="shared" si="1"/>
        <v>0</v>
      </c>
      <c r="U6" s="1" t="str">
        <f>"92"</f>
        <v>92</v>
      </c>
      <c r="V6" s="1" t="str">
        <f>"320"</f>
        <v>320</v>
      </c>
      <c r="W6" s="1" t="str">
        <f>"8.7"</f>
        <v>8.7</v>
      </c>
    </row>
    <row r="7">
      <c r="A7" s="1" t="str">
        <f>"Coastal Outfitters"</f>
        <v>Coastal Outfitters</v>
      </c>
      <c r="B7" s="1" t="str">
        <f>"48.3"</f>
        <v>48.3</v>
      </c>
      <c r="C7" s="1" t="str">
        <f>"52.4"</f>
        <v>52.4</v>
      </c>
      <c r="D7" s="1" t="str">
        <f>"55.8"</f>
        <v>55.8</v>
      </c>
      <c r="E7" s="1" t="str">
        <f>"57.4"</f>
        <v>57.4</v>
      </c>
      <c r="F7" s="1" t="str">
        <f>"11.3%"</f>
        <v>11.3%</v>
      </c>
      <c r="G7" s="1" t="str">
        <f>"7.5"</f>
        <v>7.5</v>
      </c>
      <c r="H7" s="1" t="str">
        <f>"8.2"</f>
        <v>8.2</v>
      </c>
      <c r="I7" s="1" t="str">
        <f>"8.8"</f>
        <v>8.8</v>
      </c>
      <c r="J7" s="1" t="str">
        <f>"9.1"</f>
        <v>9.1</v>
      </c>
      <c r="K7" s="1" t="str">
        <f>"15.9%"</f>
        <v>15.9%</v>
      </c>
      <c r="L7" s="1" t="str">
        <f>"44.2%"</f>
        <v>44.2%</v>
      </c>
      <c r="M7" s="1" t="str">
        <f>"28.3%"</f>
        <v>28.3%</v>
      </c>
      <c r="N7" s="1" t="str">
        <f>"19"</f>
        <v>19</v>
      </c>
      <c r="O7" s="1" t="str">
        <f>"3.02"</f>
        <v>3.02</v>
      </c>
      <c r="P7" s="1" t="str">
        <f>"26.8%"</f>
        <v>26.8%</v>
      </c>
      <c r="Q7" s="1" t="str">
        <f>"2.1"</f>
        <v>2.1</v>
      </c>
      <c r="R7" s="1" t="str">
        <f>"11.2"</f>
        <v>11.2</v>
      </c>
      <c r="S7" s="1" t="str">
        <f>"18.5"</f>
        <v>18.5</v>
      </c>
      <c r="T7" s="1" t="str">
        <f t="shared" si="1"/>
        <v>0</v>
      </c>
      <c r="U7" s="1" t="str">
        <f>"75"</f>
        <v>75</v>
      </c>
      <c r="V7" s="1" t="str">
        <f>"365"</f>
        <v>365</v>
      </c>
      <c r="W7" s="1" t="str">
        <f>"4.5"</f>
        <v>4.5</v>
      </c>
    </row>
    <row r="8">
      <c r="A8" s="1" t="str">
        <f>"Heritage Furniture Co."</f>
        <v>Heritage Furniture Co.</v>
      </c>
      <c r="B8" s="1" t="str">
        <f>"58.4"</f>
        <v>58.4</v>
      </c>
      <c r="C8" s="1" t="str">
        <f>"59.7"</f>
        <v>59.7</v>
      </c>
      <c r="D8" s="1" t="str">
        <f>"61.2"</f>
        <v>61.2</v>
      </c>
      <c r="E8" s="1" t="str">
        <f>"62.8"</f>
        <v>62.8</v>
      </c>
      <c r="F8" s="1" t="str">
        <f>"4.2%"</f>
        <v>4.2%</v>
      </c>
      <c r="G8" s="1" t="str">
        <f>"7.3"</f>
        <v>7.3</v>
      </c>
      <c r="H8" s="1" t="str">
        <f>"7.5"</f>
        <v>7.5</v>
      </c>
      <c r="I8" s="1" t="str">
        <f>"7.9"</f>
        <v>7.9</v>
      </c>
      <c r="J8" s="1" t="str">
        <f>"8.2"</f>
        <v>8.2</v>
      </c>
      <c r="K8" s="1" t="str">
        <f>"13.1%"</f>
        <v>13.1%</v>
      </c>
      <c r="L8" s="1" t="str">
        <f>"40.6%"</f>
        <v>40.6%</v>
      </c>
      <c r="M8" s="1" t="str">
        <f>"27.5%"</f>
        <v>27.5%</v>
      </c>
      <c r="N8" s="1" t="str">
        <f>"12"</f>
        <v>12</v>
      </c>
      <c r="O8" s="1" t="str">
        <f>"5.23"</f>
        <v>5.23</v>
      </c>
      <c r="P8" s="1" t="str">
        <f>"11.5%"</f>
        <v>11.5%</v>
      </c>
      <c r="Q8" s="1" t="str">
        <f>"1.4"</f>
        <v>1.4</v>
      </c>
      <c r="R8" s="1" t="str">
        <f>"15.3"</f>
        <v>15.3</v>
      </c>
      <c r="S8" s="1" t="str">
        <f>"12.8"</f>
        <v>12.8</v>
      </c>
      <c r="T8" s="1" t="str">
        <f>"28.6"</f>
        <v>28.6</v>
      </c>
      <c r="U8" s="1" t="str">
        <f>"105"</f>
        <v>105</v>
      </c>
      <c r="V8" s="1" t="str">
        <f>"520"</f>
        <v>520</v>
      </c>
      <c r="W8" s="1" t="str">
        <f>"2.8"</f>
        <v>2.8</v>
      </c>
    </row>
    <row r="9">
      <c r="A9" s="1" t="str">
        <f>"StyleNow Apparel"</f>
        <v>StyleNow Apparel</v>
      </c>
      <c r="B9" s="1" t="str">
        <f>"61.2"</f>
        <v>61.2</v>
      </c>
      <c r="C9" s="1" t="str">
        <f>"72.5"</f>
        <v>72.5</v>
      </c>
      <c r="D9" s="1" t="str">
        <f>"82.4"</f>
        <v>82.4</v>
      </c>
      <c r="E9" s="1" t="str">
        <f>"85.3"</f>
        <v>85.3</v>
      </c>
      <c r="F9" s="1" t="str">
        <f>"17.6%"</f>
        <v>17.6%</v>
      </c>
      <c r="G9" s="1" t="str">
        <f>"9.1"</f>
        <v>9.1</v>
      </c>
      <c r="H9" s="1" t="str">
        <f>"10.8"</f>
        <v>10.8</v>
      </c>
      <c r="I9" s="1" t="str">
        <f>"12.4"</f>
        <v>12.4</v>
      </c>
      <c r="J9" s="1" t="str">
        <f>"12.8"</f>
        <v>12.8</v>
      </c>
      <c r="K9" s="1" t="str">
        <f>"15.0%"</f>
        <v>15.0%</v>
      </c>
      <c r="L9" s="1" t="str">
        <f>"41.2%"</f>
        <v>41.2%</v>
      </c>
      <c r="M9" s="1" t="str">
        <f>"26.2%"</f>
        <v>26.2%</v>
      </c>
      <c r="N9" s="1" t="str">
        <f>"31"</f>
        <v>31</v>
      </c>
      <c r="O9" s="1" t="str">
        <f>"2.75"</f>
        <v>2.75</v>
      </c>
      <c r="P9" s="1" t="str">
        <f>"38.5%"</f>
        <v>38.5%</v>
      </c>
      <c r="Q9" s="1" t="str">
        <f>"3.7"</f>
        <v>3.7</v>
      </c>
      <c r="R9" s="1" t="str">
        <f>"16.8"</f>
        <v>16.8</v>
      </c>
      <c r="S9" s="1" t="str">
        <f>"32.4"</f>
        <v>32.4</v>
      </c>
      <c r="T9" s="1" t="str">
        <f t="shared" ref="T9:T10" si="2">"0"</f>
        <v>0</v>
      </c>
      <c r="U9" s="1" t="str">
        <f>"38"</f>
        <v>38</v>
      </c>
      <c r="V9" s="1" t="str">
        <f>"185"</f>
        <v>185</v>
      </c>
      <c r="W9" s="1" t="str">
        <f>"6.8"</f>
        <v>6.8</v>
      </c>
    </row>
    <row r="10">
      <c r="A10" s="1" t="str">
        <f>"Culinary Essentials"</f>
        <v>Culinary Essentials</v>
      </c>
      <c r="B10" s="1" t="str">
        <f>"40.5"</f>
        <v>40.5</v>
      </c>
      <c r="C10" s="1" t="str">
        <f>"43.8"</f>
        <v>43.8</v>
      </c>
      <c r="D10" s="1" t="str">
        <f>"46.2"</f>
        <v>46.2</v>
      </c>
      <c r="E10" s="1" t="str">
        <f>"47.2"</f>
        <v>47.2</v>
      </c>
      <c r="F10" s="1" t="str">
        <f>"8.9%"</f>
        <v>8.9%</v>
      </c>
      <c r="G10" s="1" t="str">
        <f>"6.6"</f>
        <v>6.6</v>
      </c>
      <c r="H10" s="1" t="str">
        <f>"7.2"</f>
        <v>7.2</v>
      </c>
      <c r="I10" s="1" t="str">
        <f>"7.6"</f>
        <v>7.6</v>
      </c>
      <c r="J10" s="1" t="str">
        <f>"7.8"</f>
        <v>7.8</v>
      </c>
      <c r="K10" s="1" t="str">
        <f>"16.5%"</f>
        <v>16.5%</v>
      </c>
      <c r="L10" s="1" t="str">
        <f>"47.5%"</f>
        <v>47.5%</v>
      </c>
      <c r="M10" s="1" t="str">
        <f>"31.0%"</f>
        <v>31.0%</v>
      </c>
      <c r="N10" s="1" t="str">
        <f>"15"</f>
        <v>15</v>
      </c>
      <c r="O10" s="1" t="str">
        <f>"3.15"</f>
        <v>3.15</v>
      </c>
      <c r="P10" s="1" t="str">
        <f>"32.5%"</f>
        <v>32.5%</v>
      </c>
      <c r="Q10" s="1" t="str">
        <f>"1.5"</f>
        <v>1.5</v>
      </c>
      <c r="R10" s="1" t="str">
        <f>"9.2"</f>
        <v>9.2</v>
      </c>
      <c r="S10" s="1" t="str">
        <f>"14.5"</f>
        <v>14.5</v>
      </c>
      <c r="T10" s="1" t="str">
        <f t="shared" si="2"/>
        <v>0</v>
      </c>
      <c r="U10" s="1" t="str">
        <f>"82"</f>
        <v>82</v>
      </c>
      <c r="V10" s="1" t="str">
        <f>"395"</f>
        <v>395</v>
      </c>
      <c r="W10" s="1" t="str">
        <f>"4.1"</f>
        <v>4.1</v>
      </c>
    </row>
    <row r="11">
      <c r="A11" s="1" t="str">
        <f>"Kidz Corner"</f>
        <v>Kidz Corner</v>
      </c>
      <c r="B11" s="1" t="str">
        <f>"35.2"</f>
        <v>35.2</v>
      </c>
      <c r="C11" s="1" t="str">
        <f>"37.6"</f>
        <v>37.6</v>
      </c>
      <c r="D11" s="1" t="str">
        <f>"38.9"</f>
        <v>38.9</v>
      </c>
      <c r="E11" s="1" t="str">
        <f>"39.6"</f>
        <v>39.6</v>
      </c>
      <c r="F11" s="1" t="str">
        <f>"7.2%"</f>
        <v>7.2%</v>
      </c>
      <c r="G11" s="1" t="str">
        <f>"4.8"</f>
        <v>4.8</v>
      </c>
      <c r="H11" s="1" t="str">
        <f>"5.1"</f>
        <v>5.1</v>
      </c>
      <c r="I11" s="1" t="str">
        <f>"5.3"</f>
        <v>5.3</v>
      </c>
      <c r="J11" s="1" t="str">
        <f>"5.5"</f>
        <v>5.5</v>
      </c>
      <c r="K11" s="1" t="str">
        <f>"13.9%"</f>
        <v>13.9%</v>
      </c>
      <c r="L11" s="1" t="str">
        <f>"39.5%"</f>
        <v>39.5%</v>
      </c>
      <c r="M11" s="1" t="str">
        <f>"25.6%"</f>
        <v>25.6%</v>
      </c>
      <c r="N11" s="1" t="str">
        <f>"21"</f>
        <v>21</v>
      </c>
      <c r="O11" s="1" t="str">
        <f>"1.89"</f>
        <v>1.89</v>
      </c>
      <c r="P11" s="1" t="str">
        <f>"15.8%"</f>
        <v>15.8%</v>
      </c>
      <c r="Q11" s="1" t="str">
        <f>"1.2"</f>
        <v>1.2</v>
      </c>
      <c r="R11" s="1" t="str">
        <f>"7.8"</f>
        <v>7.8</v>
      </c>
      <c r="S11" s="1" t="str">
        <f>"11.2"</f>
        <v>11.2</v>
      </c>
      <c r="T11" s="1" t="str">
        <f>"8.5"</f>
        <v>8.5</v>
      </c>
      <c r="U11" s="1" t="str">
        <f>"55"</f>
        <v>55</v>
      </c>
      <c r="V11" s="1" t="str">
        <f>"245"</f>
        <v>245</v>
      </c>
      <c r="W11" s="1" t="str">
        <f>"5.6"</f>
        <v>5.6</v>
      </c>
    </row>
    <row r="12">
      <c r="A12" s="1" t="str">
        <f>"Wellness Direct"</f>
        <v>Wellness Direct</v>
      </c>
      <c r="B12" s="1" t="str">
        <f>"50.3"</f>
        <v>50.3</v>
      </c>
      <c r="C12" s="1" t="str">
        <f>"57.8"</f>
        <v>57.8</v>
      </c>
      <c r="D12" s="1" t="str">
        <f>"65.4"</f>
        <v>65.4</v>
      </c>
      <c r="E12" s="1" t="str">
        <f>"67.2"</f>
        <v>67.2</v>
      </c>
      <c r="F12" s="1" t="str">
        <f>"14.8%"</f>
        <v>14.8%</v>
      </c>
      <c r="G12" s="1" t="str">
        <f>"8.4"</f>
        <v>8.4</v>
      </c>
      <c r="H12" s="1" t="str">
        <f>"9.7"</f>
        <v>9.7</v>
      </c>
      <c r="I12" s="1" t="str">
        <f>"11.1"</f>
        <v>11.1</v>
      </c>
      <c r="J12" s="1" t="str">
        <f>"11.4"</f>
        <v>11.4</v>
      </c>
      <c r="K12" s="1" t="str">
        <f>"17.0%"</f>
        <v>17.0%</v>
      </c>
      <c r="L12" s="1" t="str">
        <f>"49.8%"</f>
        <v>49.8%</v>
      </c>
      <c r="M12" s="1" t="str">
        <f>"32.8%"</f>
        <v>32.8%</v>
      </c>
      <c r="N12" s="1" t="str">
        <f>"24"</f>
        <v>24</v>
      </c>
      <c r="O12" s="1" t="str">
        <f>"2.80"</f>
        <v>2.80</v>
      </c>
      <c r="P12" s="1" t="str">
        <f>"45.0%"</f>
        <v>45.0%</v>
      </c>
      <c r="Q12" s="1" t="str">
        <f>"2.5"</f>
        <v>2.5</v>
      </c>
      <c r="R12" s="1" t="str">
        <f>"12.5"</f>
        <v>12.5</v>
      </c>
      <c r="S12" s="1" t="str">
        <f>"21.5"</f>
        <v>21.5</v>
      </c>
      <c r="T12" s="1" t="str">
        <f>"0"</f>
        <v>0</v>
      </c>
      <c r="U12" s="1" t="str">
        <f>"68"</f>
        <v>68</v>
      </c>
      <c r="V12" s="1" t="str">
        <f>"370"</f>
        <v>370</v>
      </c>
      <c r="W12" s="1" t="str">
        <f>"7.2"</f>
        <v>7.2</v>
      </c>
    </row>
    <row r="13">
      <c r="A13" s="1" t="str">
        <f>"Countryside Pets"</f>
        <v>Countryside Pets</v>
      </c>
      <c r="B13" s="1" t="str">
        <f>"63.1"</f>
        <v>63.1</v>
      </c>
      <c r="C13" s="1" t="str">
        <f>"68.4"</f>
        <v>68.4</v>
      </c>
      <c r="D13" s="1" t="str">
        <f>"71.6"</f>
        <v>71.6</v>
      </c>
      <c r="E13" s="1" t="str">
        <f>"72.5"</f>
        <v>72.5</v>
      </c>
      <c r="F13" s="1" t="str">
        <f>"9.5%"</f>
        <v>9.5%</v>
      </c>
      <c r="G13" s="1" t="str">
        <f>"8.5"</f>
        <v>8.5</v>
      </c>
      <c r="H13" s="1" t="str">
        <f>"9.3"</f>
        <v>9.3</v>
      </c>
      <c r="I13" s="1" t="str">
        <f>"9.8"</f>
        <v>9.8</v>
      </c>
      <c r="J13" s="1" t="str">
        <f>"10.1"</f>
        <v>10.1</v>
      </c>
      <c r="K13" s="1" t="str">
        <f>"13.9%"</f>
        <v>13.9%</v>
      </c>
      <c r="L13" s="1" t="str">
        <f>"38.2%"</f>
        <v>38.2%</v>
      </c>
      <c r="M13" s="1" t="str">
        <f>"24.3%"</f>
        <v>24.3%</v>
      </c>
      <c r="N13" s="1" t="str">
        <f>"32"</f>
        <v>32</v>
      </c>
      <c r="O13" s="1" t="str">
        <f>"2.27"</f>
        <v>2.27</v>
      </c>
      <c r="P13" s="1" t="str">
        <f>"22.5%"</f>
        <v>22.5%</v>
      </c>
      <c r="Q13" s="1" t="str">
        <f>"2.3"</f>
        <v>2.3</v>
      </c>
      <c r="R13" s="1" t="str">
        <f>"14.1"</f>
        <v>14.1</v>
      </c>
      <c r="S13" s="1" t="str">
        <f>"25.8"</f>
        <v>25.8</v>
      </c>
      <c r="T13" s="1" t="str">
        <f>"12.6"</f>
        <v>12.6</v>
      </c>
      <c r="U13" s="1" t="str">
        <f>"48"</f>
        <v>48</v>
      </c>
      <c r="V13" s="1" t="str">
        <f>"235"</f>
        <v>235</v>
      </c>
      <c r="W13" s="1" t="str">
        <f>"6.4"</f>
        <v>6.4</v>
      </c>
    </row>
    <row r="14">
      <c r="A14" s="1" t="str">
        <f>"Modern Home Solutions"</f>
        <v>Modern Home Solutions</v>
      </c>
      <c r="B14" s="1" t="str">
        <f>"101.2"</f>
        <v>101.2</v>
      </c>
      <c r="C14" s="1" t="str">
        <f>"108.5"</f>
        <v>108.5</v>
      </c>
      <c r="D14" s="1" t="str">
        <f>"112.8"</f>
        <v>112.8</v>
      </c>
      <c r="E14" s="1" t="str">
        <f>"114.6"</f>
        <v>114.6</v>
      </c>
      <c r="F14" s="1" t="str">
        <f>"7.8%"</f>
        <v>7.8%</v>
      </c>
      <c r="G14" s="1" t="str">
        <f>"15.8"</f>
        <v>15.8</v>
      </c>
      <c r="H14" s="1" t="str">
        <f>"17.2"</f>
        <v>17.2</v>
      </c>
      <c r="I14" s="1" t="str">
        <f>"18.0"</f>
        <v>18.0</v>
      </c>
      <c r="J14" s="1" t="str">
        <f>"18.3"</f>
        <v>18.3</v>
      </c>
      <c r="K14" s="1" t="str">
        <f>"16.0%"</f>
        <v>16.0%</v>
      </c>
      <c r="L14" s="1" t="str">
        <f>"41.5%"</f>
        <v>41.5%</v>
      </c>
      <c r="M14" s="1" t="str">
        <f>"25.5%"</f>
        <v>25.5%</v>
      </c>
      <c r="N14" s="1" t="str">
        <f>"27"</f>
        <v>27</v>
      </c>
      <c r="O14" s="1" t="str">
        <f>"4.24"</f>
        <v>4.24</v>
      </c>
      <c r="P14" s="1" t="str">
        <f>"16.8%"</f>
        <v>16.8%</v>
      </c>
      <c r="Q14" s="1" t="str">
        <f>"3.8"</f>
        <v>3.8</v>
      </c>
      <c r="R14" s="1" t="str">
        <f>"22.5"</f>
        <v>22.5</v>
      </c>
      <c r="S14" s="1" t="str">
        <f>"36.2"</f>
        <v>36.2</v>
      </c>
      <c r="T14" s="1" t="str">
        <f>"45.8"</f>
        <v>45.8</v>
      </c>
      <c r="U14" s="1" t="str">
        <f>"125"</f>
        <v>125</v>
      </c>
      <c r="V14" s="1" t="str">
        <f>"580"</f>
        <v>580</v>
      </c>
      <c r="W14" s="1" t="str">
        <f>"3.5"</f>
        <v>3.5</v>
      </c>
    </row>
    <row r="15">
      <c r="A15" s="1" t="str">
        <f>"Elite Footwear"</f>
        <v>Elite Footwear</v>
      </c>
      <c r="B15" s="1" t="str">
        <f>"42.5"</f>
        <v>42.5</v>
      </c>
      <c r="C15" s="1" t="str">
        <f>"47.8"</f>
        <v>47.8</v>
      </c>
      <c r="D15" s="1" t="str">
        <f>"51.5"</f>
        <v>51.5</v>
      </c>
      <c r="E15" s="1" t="str">
        <f>"52.8"</f>
        <v>52.8</v>
      </c>
      <c r="F15" s="1" t="str">
        <f>"12.5%"</f>
        <v>12.5%</v>
      </c>
      <c r="G15" s="1" t="str">
        <f>"7.1"</f>
        <v>7.1</v>
      </c>
      <c r="H15" s="1" t="str">
        <f>"8.0"</f>
        <v>8.0</v>
      </c>
      <c r="I15" s="1" t="str">
        <f>"8.7"</f>
        <v>8.7</v>
      </c>
      <c r="J15" s="1" t="str">
        <f>"9.0"</f>
        <v>9.0</v>
      </c>
      <c r="K15" s="1" t="str">
        <f>"17.0%"</f>
        <v>17.0%</v>
      </c>
      <c r="L15" s="1" t="str">
        <f>"46.8%"</f>
        <v>46.8%</v>
      </c>
      <c r="M15" s="1" t="str">
        <f>"29.8%"</f>
        <v>29.8%</v>
      </c>
      <c r="N15" s="1" t="str">
        <f>"18"</f>
        <v>18</v>
      </c>
      <c r="O15" s="1" t="str">
        <f>"2.93"</f>
        <v>2.93</v>
      </c>
      <c r="P15" s="1" t="str">
        <f>"32.0%"</f>
        <v>32.0%</v>
      </c>
      <c r="Q15" s="1" t="str">
        <f>"1.8"</f>
        <v>1.8</v>
      </c>
      <c r="R15" s="1" t="str">
        <f>"10.2"</f>
        <v>10.2</v>
      </c>
      <c r="S15" s="1" t="str">
        <f>"18.5"</f>
        <v>18.5</v>
      </c>
      <c r="T15" s="1" t="str">
        <f>"0"</f>
        <v>0</v>
      </c>
      <c r="U15" s="1" t="str">
        <f>"65"</f>
        <v>65</v>
      </c>
      <c r="V15" s="1" t="str">
        <f>"340"</f>
        <v>340</v>
      </c>
      <c r="W15" s="1" t="str">
        <f>"5.8"</f>
        <v>5.8</v>
      </c>
    </row>
    <row r="16">
      <c r="A16" s="1" t="str">
        <f>"Gourmet Market"</f>
        <v>Gourmet Market</v>
      </c>
      <c r="B16" s="1" t="str">
        <f>"80.1"</f>
        <v>80.1</v>
      </c>
      <c r="C16" s="1" t="str">
        <f>"84.2"</f>
        <v>84.2</v>
      </c>
      <c r="D16" s="1" t="str">
        <f>"86.5"</f>
        <v>86.5</v>
      </c>
      <c r="E16" s="1" t="str">
        <f>"88.3"</f>
        <v>88.3</v>
      </c>
      <c r="F16" s="1" t="str">
        <f>"6.3%"</f>
        <v>6.3%</v>
      </c>
      <c r="G16" s="1" t="str">
        <f>"9.5"</f>
        <v>9.5</v>
      </c>
      <c r="H16" s="1" t="str">
        <f>"10.1"</f>
        <v>10.1</v>
      </c>
      <c r="I16" s="1" t="str">
        <f>"10.4"</f>
        <v>10.4</v>
      </c>
      <c r="J16" s="1" t="str">
        <f>"10.6"</f>
        <v>10.6</v>
      </c>
      <c r="K16" s="1" t="str">
        <f>"12.0%"</f>
        <v>12.0%</v>
      </c>
      <c r="L16" s="1" t="str">
        <f>"35.8%"</f>
        <v>35.8%</v>
      </c>
      <c r="M16" s="1" t="str">
        <f>"23.8%"</f>
        <v>23.8%</v>
      </c>
      <c r="N16" s="1" t="str">
        <f>"9"</f>
        <v>9</v>
      </c>
      <c r="O16" s="1" t="str">
        <f>"9.81"</f>
        <v>9.81</v>
      </c>
      <c r="P16" s="1" t="str">
        <f>"8.5%"</f>
        <v>8.5%</v>
      </c>
      <c r="Q16" s="1" t="str">
        <f>"2.1"</f>
        <v>2.1</v>
      </c>
      <c r="R16" s="1" t="str">
        <f>"16.5"</f>
        <v>16.5</v>
      </c>
      <c r="S16" s="1" t="str">
        <f>"24.8"</f>
        <v>24.8</v>
      </c>
      <c r="T16" s="1" t="str">
        <f>"38.5"</f>
        <v>38.5</v>
      </c>
      <c r="U16" s="1" t="str">
        <f>"110"</f>
        <v>110</v>
      </c>
      <c r="V16" s="1" t="str">
        <f>"480"</f>
        <v>480</v>
      </c>
      <c r="W16" s="1" t="str">
        <f>"14.2"</f>
        <v>14.2</v>
      </c>
    </row>
    <row r="17">
      <c r="A17" s="1" t="str">
        <f>"BookHaven Plus"</f>
        <v>BookHaven Plus</v>
      </c>
      <c r="B17" s="1" t="str">
        <f>"42.1"</f>
        <v>42.1</v>
      </c>
      <c r="C17" s="1" t="str">
        <f>"42.8"</f>
        <v>42.8</v>
      </c>
      <c r="D17" s="1" t="str">
        <f>"43.5"</f>
        <v>43.5</v>
      </c>
      <c r="E17" s="1" t="str">
        <f>"43.7"</f>
        <v>43.7</v>
      </c>
      <c r="F17" s="1" t="str">
        <f>"2.1%"</f>
        <v>2.1%</v>
      </c>
      <c r="G17" s="1" t="str">
        <f>"5.3"</f>
        <v>5.3</v>
      </c>
      <c r="H17" s="1" t="str">
        <f>"5.5"</f>
        <v>5.5</v>
      </c>
      <c r="I17" s="1" t="str">
        <f>"5.6"</f>
        <v>5.6</v>
      </c>
      <c r="J17" s="1" t="str">
        <f>"5.7"</f>
        <v>5.7</v>
      </c>
      <c r="K17" s="1" t="str">
        <f>"13.0%"</f>
        <v>13.0%</v>
      </c>
      <c r="L17" s="1" t="str">
        <f>"38.5%"</f>
        <v>38.5%</v>
      </c>
      <c r="M17" s="1" t="str">
        <f>"25.5%"</f>
        <v>25.5%</v>
      </c>
      <c r="N17" s="1" t="str">
        <f>"14"</f>
        <v>14</v>
      </c>
      <c r="O17" s="1" t="str">
        <f>"3.12"</f>
        <v>3.12</v>
      </c>
      <c r="P17" s="1" t="str">
        <f>"18.2%"</f>
        <v>18.2%</v>
      </c>
      <c r="Q17" s="1" t="str">
        <f>"0.9"</f>
        <v>0.9</v>
      </c>
      <c r="R17" s="1" t="str">
        <f>"8.2"</f>
        <v>8.2</v>
      </c>
      <c r="S17" s="1" t="str">
        <f>"12.5"</f>
        <v>12.5</v>
      </c>
      <c r="T17" s="1" t="str">
        <f>"22.4"</f>
        <v>22.4</v>
      </c>
      <c r="U17" s="1" t="str">
        <f>"40"</f>
        <v>40</v>
      </c>
      <c r="V17" s="1" t="str">
        <f>"160"</f>
        <v>160</v>
      </c>
      <c r="W17" s="1" t="str">
        <f>"3.2"</f>
        <v>3.2</v>
      </c>
    </row>
    <row r="18">
      <c r="A18" s="1" t="str">
        <f>"OutdoorLife Direct"</f>
        <v>OutdoorLife Direct</v>
      </c>
      <c r="B18" s="1" t="str">
        <f>"76.4"</f>
        <v>76.4</v>
      </c>
      <c r="C18" s="1" t="str">
        <f>"86.5"</f>
        <v>86.5</v>
      </c>
      <c r="D18" s="1" t="str">
        <f>"95.8"</f>
        <v>95.8</v>
      </c>
      <c r="E18" s="1" t="str">
        <f>"98.4"</f>
        <v>98.4</v>
      </c>
      <c r="F18" s="1" t="str">
        <f>"13.9%"</f>
        <v>13.9%</v>
      </c>
      <c r="G18" s="1" t="str">
        <f>"13.5"</f>
        <v>13.5</v>
      </c>
      <c r="H18" s="1" t="str">
        <f>"15.4"</f>
        <v>15.4</v>
      </c>
      <c r="I18" s="1" t="str">
        <f>"17.2"</f>
        <v>17.2</v>
      </c>
      <c r="J18" s="1" t="str">
        <f>"17.7"</f>
        <v>17.7</v>
      </c>
      <c r="K18" s="1" t="str">
        <f>"18.0%"</f>
        <v>18.0%</v>
      </c>
      <c r="L18" s="1" t="str">
        <f>"48.2%"</f>
        <v>48.2%</v>
      </c>
      <c r="M18" s="1" t="str">
        <f>"30.2%"</f>
        <v>30.2%</v>
      </c>
      <c r="N18" s="1" t="str">
        <f>"25"</f>
        <v>25</v>
      </c>
      <c r="O18" s="1" t="str">
        <f>"3.94"</f>
        <v>3.94</v>
      </c>
      <c r="P18" s="1" t="str">
        <f>"42.5%"</f>
        <v>42.5%</v>
      </c>
      <c r="Q18" s="1" t="str">
        <f>"3.6"</f>
        <v>3.6</v>
      </c>
      <c r="R18" s="1" t="str">
        <f>"19.2"</f>
        <v>19.2</v>
      </c>
      <c r="S18" s="1" t="str">
        <f>"38.5"</f>
        <v>38.5</v>
      </c>
      <c r="T18" s="1" t="str">
        <f>"0"</f>
        <v>0</v>
      </c>
      <c r="U18" s="1" t="str">
        <f>"88"</f>
        <v>88</v>
      </c>
      <c r="V18" s="1" t="str">
        <f>"425"</f>
        <v>425</v>
      </c>
      <c r="W18" s="1" t="str">
        <f>"5.5"</f>
        <v>5.5</v>
      </c>
    </row>
    <row r="19">
      <c r="A19" s="1" t="str">
        <f>"ValueMart Retail"</f>
        <v>ValueMart Retail</v>
      </c>
      <c r="B19" s="1" t="str">
        <f>"170.3"</f>
        <v>170.3</v>
      </c>
      <c r="C19" s="1" t="str">
        <f>"178.4"</f>
        <v>178.4</v>
      </c>
      <c r="D19" s="1" t="str">
        <f>"185.2"</f>
        <v>185.2</v>
      </c>
      <c r="E19" s="1" t="str">
        <f>"187.5"</f>
        <v>187.5</v>
      </c>
      <c r="F19" s="1" t="str">
        <f>"5.4%"</f>
        <v>5.4%</v>
      </c>
      <c r="G19" s="1" t="str">
        <f>"20.2"</f>
        <v>20.2</v>
      </c>
      <c r="H19" s="1" t="str">
        <f>"21.2"</f>
        <v>21.2</v>
      </c>
      <c r="I19" s="1" t="str">
        <f>"22.2"</f>
        <v>22.2</v>
      </c>
      <c r="J19" s="1" t="str">
        <f>"22.5"</f>
        <v>22.5</v>
      </c>
      <c r="K19" s="1" t="str">
        <f>"12.0%"</f>
        <v>12.0%</v>
      </c>
      <c r="L19" s="1" t="str">
        <f>"32.8%"</f>
        <v>32.8%</v>
      </c>
      <c r="M19" s="1" t="str">
        <f>"20.8%"</f>
        <v>20.8%</v>
      </c>
      <c r="N19" s="1" t="str">
        <f>"47"</f>
        <v>47</v>
      </c>
      <c r="O19" s="1" t="str">
        <f>"3.99"</f>
        <v>3.99</v>
      </c>
      <c r="P19" s="1" t="str">
        <f>"10.5%"</f>
        <v>10.5%</v>
      </c>
      <c r="Q19" s="1" t="str">
        <f>"3.5"</f>
        <v>3.5</v>
      </c>
      <c r="R19" s="1" t="str">
        <f>"35.6"</f>
        <v>35.6</v>
      </c>
      <c r="S19" s="1" t="str">
        <f>"62.5"</f>
        <v>62.5</v>
      </c>
      <c r="T19" s="1" t="str">
        <f>"68.5"</f>
        <v>68.5</v>
      </c>
      <c r="U19" s="1" t="str">
        <f>"35"</f>
        <v>35</v>
      </c>
      <c r="V19" s="1" t="str">
        <f>"180"</f>
        <v>180</v>
      </c>
      <c r="W19" s="1" t="str">
        <f>"8.5"</f>
        <v>8.5</v>
      </c>
    </row>
    <row r="20">
      <c r="A20" s="1" t="str">
        <f>"LuxeDecor Interiors"</f>
        <v>LuxeDecor Interiors</v>
      </c>
      <c r="B20" s="1" t="str">
        <f>"34.2"</f>
        <v>34.2</v>
      </c>
      <c r="C20" s="1" t="str">
        <f>"37.5"</f>
        <v>37.5</v>
      </c>
      <c r="D20" s="1" t="str">
        <f>"40.8"</f>
        <v>40.8</v>
      </c>
      <c r="E20" s="1" t="str">
        <f>"41.5"</f>
        <v>41.5</v>
      </c>
      <c r="F20" s="1" t="str">
        <f>"9.8%"</f>
        <v>9.8%</v>
      </c>
      <c r="G20" s="1" t="str">
        <f>"6.4"</f>
        <v>6.4</v>
      </c>
      <c r="H20" s="1" t="str">
        <f>"7.1"</f>
        <v>7.1</v>
      </c>
      <c r="I20" s="1" t="str">
        <f>"7.7"</f>
        <v>7.7</v>
      </c>
      <c r="J20" s="1" t="str">
        <f>"7.9"</f>
        <v>7.9</v>
      </c>
      <c r="K20" s="1" t="str">
        <f>"19.0%"</f>
        <v>19.0%</v>
      </c>
      <c r="L20" s="1" t="str">
        <f>"52.5%"</f>
        <v>52.5%</v>
      </c>
      <c r="M20" s="1" t="str">
        <f>"33.5%"</f>
        <v>33.5%</v>
      </c>
      <c r="N20" s="1" t="str">
        <f>"8"</f>
        <v>8</v>
      </c>
      <c r="O20" s="1" t="str">
        <f>"5.19"</f>
        <v>5.19</v>
      </c>
      <c r="P20" s="1" t="str">
        <f>"28.5%"</f>
        <v>28.5%</v>
      </c>
      <c r="Q20" s="1" t="str">
        <f>"1.2"</f>
        <v>1.2</v>
      </c>
      <c r="R20" s="1" t="str">
        <f>"8.3"</f>
        <v>8.3</v>
      </c>
      <c r="S20" s="1" t="str">
        <f>"15.8"</f>
        <v>15.8</v>
      </c>
      <c r="T20" s="1" t="str">
        <f t="shared" ref="T20:T21" si="3">"0"</f>
        <v>0</v>
      </c>
      <c r="U20" s="1" t="str">
        <f>"145"</f>
        <v>145</v>
      </c>
      <c r="V20" s="1" t="str">
        <f>"720"</f>
        <v>720</v>
      </c>
      <c r="W20" s="1" t="str">
        <f>"3.2"</f>
        <v>3.2</v>
      </c>
    </row>
    <row r="21">
      <c r="A21" s="1" t="str">
        <f>"FitLife Equipment"</f>
        <v>FitLife Equipment</v>
      </c>
      <c r="B21" s="1" t="str">
        <f>"42.8"</f>
        <v>42.8</v>
      </c>
      <c r="C21" s="1" t="str">
        <f>"50.5"</f>
        <v>50.5</v>
      </c>
      <c r="D21" s="1" t="str">
        <f>"59.2"</f>
        <v>59.2</v>
      </c>
      <c r="E21" s="1" t="str">
        <f>"61.3"</f>
        <v>61.3</v>
      </c>
      <c r="F21" s="1" t="str">
        <f>"18.5%"</f>
        <v>18.5%</v>
      </c>
      <c r="G21" s="1" t="str">
        <f>"6.7"</f>
        <v>6.7</v>
      </c>
      <c r="H21" s="1" t="str">
        <f>"8.0"</f>
        <v>8.0</v>
      </c>
      <c r="I21" s="1" t="str">
        <f>"9.5"</f>
        <v>9.5</v>
      </c>
      <c r="J21" s="1" t="str">
        <f>"9.8"</f>
        <v>9.8</v>
      </c>
      <c r="K21" s="1" t="str">
        <f>"16.0%"</f>
        <v>16.0%</v>
      </c>
      <c r="L21" s="1" t="str">
        <f>"45.5%"</f>
        <v>45.5%</v>
      </c>
      <c r="M21" s="1" t="str">
        <f>"29.5%"</f>
        <v>29.5%</v>
      </c>
      <c r="N21" s="1" t="str">
        <f>"16"</f>
        <v>16</v>
      </c>
      <c r="O21" s="1" t="str">
        <f>"3.83"</f>
        <v>3.83</v>
      </c>
      <c r="P21" s="1" t="str">
        <f>"48.5%"</f>
        <v>48.5%</v>
      </c>
      <c r="Q21" s="1" t="str">
        <f>"2.4"</f>
        <v>2.4</v>
      </c>
      <c r="R21" s="1" t="str">
        <f>"11.8"</f>
        <v>11.8</v>
      </c>
      <c r="S21" s="1" t="str">
        <f>"22.5"</f>
        <v>22.5</v>
      </c>
      <c r="T21" s="1" t="str">
        <f t="shared" si="3"/>
        <v>0</v>
      </c>
      <c r="U21" s="1" t="str">
        <f>"82"</f>
        <v>82</v>
      </c>
      <c r="V21" s="1" t="str">
        <f>"410"</f>
        <v>410</v>
      </c>
      <c r="W21" s="1" t="str">
        <f>"6.4"</f>
        <v>6.4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17.75"/>
    <col customWidth="1" min="4" max="4" width="69.38"/>
    <col customWidth="1" min="5" max="5" width="71.75"/>
    <col customWidth="1" min="6" max="6" width="51.25"/>
    <col customWidth="1" min="7" max="7" width="39.0"/>
  </cols>
  <sheetData>
    <row r="1">
      <c r="A1" s="1" t="str">
        <f>"Category"</f>
        <v>Category</v>
      </c>
      <c r="B1" s="1" t="str">
        <f>"Item"</f>
        <v>Item</v>
      </c>
      <c r="C1" s="1" t="str">
        <f>"Status"</f>
        <v>Status</v>
      </c>
      <c r="D1" s="1" t="str">
        <f>"Key_Findings"</f>
        <v>Key_Findings</v>
      </c>
      <c r="E1" s="1" t="str">
        <f>"Risk_Level"</f>
        <v>Risk_Level</v>
      </c>
      <c r="F1" s="1" t="str">
        <f>"Next_Steps"</f>
        <v>Next_Steps</v>
      </c>
      <c r="G1" s="1" t="str">
        <f t="shared" ref="G1:I1" si="1">""</f>
        <v/>
      </c>
      <c r="H1" s="1" t="str">
        <f t="shared" si="1"/>
        <v/>
      </c>
      <c r="I1" s="1" t="str">
        <f t="shared" si="1"/>
        <v/>
      </c>
    </row>
    <row r="2">
      <c r="A2" s="1" t="str">
        <f t="shared" ref="A2:A7" si="3">"Financial"</f>
        <v>Financial</v>
      </c>
      <c r="B2" s="1" t="str">
        <f>"Historical P&amp;L (3 years monthly)"</f>
        <v>Historical P&amp;L (3 years monthly)</v>
      </c>
      <c r="C2" s="1" t="str">
        <f t="shared" ref="C2:C23" si="4">"Complete"</f>
        <v>Complete</v>
      </c>
      <c r="D2" s="1" t="str">
        <f>"9.7% revenue CAGR; EBITDA margin expansion from 13.3% to 13.9%; seasonal Q4 strength"</f>
        <v>9.7% revenue CAGR; EBITDA margin expansion from 13.3% to 13.9%; seasonal Q4 strength</v>
      </c>
      <c r="E2" s="1" t="str">
        <f t="shared" ref="E2:E5" si="5">"Low"</f>
        <v>Low</v>
      </c>
      <c r="G2" s="1" t="str">
        <f t="shared" ref="G2:I2" si="2">""</f>
        <v/>
      </c>
      <c r="H2" s="1" t="str">
        <f t="shared" si="2"/>
        <v/>
      </c>
      <c r="I2" s="1" t="str">
        <f t="shared" si="2"/>
        <v/>
      </c>
    </row>
    <row r="3">
      <c r="A3" s="1" t="str">
        <f t="shared" si="3"/>
        <v>Financial</v>
      </c>
      <c r="B3" s="1" t="str">
        <f>"Balance Sheet (3 years quarterly)"</f>
        <v>Balance Sheet (3 years quarterly)</v>
      </c>
      <c r="C3" s="1" t="str">
        <f t="shared" si="4"/>
        <v>Complete</v>
      </c>
      <c r="D3" s="1" t="str">
        <f>"Current Net Debt of $22.8M (1.8x EBITDA); clean inventory accounting; $32.4M in owned real estate"</f>
        <v>Current Net Debt of $22.8M (1.8x EBITDA); clean inventory accounting; $32.4M in owned real estate</v>
      </c>
      <c r="E3" s="1" t="str">
        <f t="shared" si="5"/>
        <v>Low</v>
      </c>
      <c r="F3" s="1" t="str">
        <f>"Confirm real estate valuation"</f>
        <v>Confirm real estate valuation</v>
      </c>
      <c r="G3" s="1" t="str">
        <f t="shared" ref="G3:I3" si="6">""</f>
        <v/>
      </c>
      <c r="H3" s="1" t="str">
        <f t="shared" si="6"/>
        <v/>
      </c>
      <c r="I3" s="1" t="str">
        <f t="shared" si="6"/>
        <v/>
      </c>
    </row>
    <row r="4">
      <c r="A4" s="1" t="str">
        <f t="shared" si="3"/>
        <v>Financial</v>
      </c>
      <c r="B4" s="1" t="str">
        <f>"Cash Flow Statement (3 years quarterly)"</f>
        <v>Cash Flow Statement (3 years quarterly)</v>
      </c>
      <c r="C4" s="1" t="str">
        <f t="shared" si="4"/>
        <v>Complete</v>
      </c>
      <c r="D4" s="1" t="str">
        <f>"65% FCF conversion from EBITDA; consistent working capital management; capex historically 3.5-4.0% of revenue"</f>
        <v>65% FCF conversion from EBITDA; consistent working capital management; capex historically 3.5-4.0% of revenue</v>
      </c>
      <c r="E4" s="1" t="str">
        <f t="shared" si="5"/>
        <v>Low</v>
      </c>
      <c r="F4" s="1" t="str">
        <f>"Validate maintenance vs. growth capex allocation"</f>
        <v>Validate maintenance vs. growth capex allocation</v>
      </c>
      <c r="G4" s="1" t="str">
        <f t="shared" ref="G4:I4" si="7">""</f>
        <v/>
      </c>
      <c r="H4" s="1" t="str">
        <f t="shared" si="7"/>
        <v/>
      </c>
      <c r="I4" s="1" t="str">
        <f t="shared" si="7"/>
        <v/>
      </c>
    </row>
    <row r="5">
      <c r="A5" s="1" t="str">
        <f t="shared" si="3"/>
        <v>Financial</v>
      </c>
      <c r="B5" s="1" t="str">
        <f>"Budget vs. Actual (2 years monthly)"</f>
        <v>Budget vs. Actual (2 years monthly)</v>
      </c>
      <c r="C5" s="1" t="str">
        <f t="shared" si="4"/>
        <v>Complete</v>
      </c>
      <c r="D5" s="1" t="str">
        <f>"90% forecast accuracy on revenue; 85% on EBITDA; conservatism in projections"</f>
        <v>90% forecast accuracy on revenue; 85% on EBITDA; conservatism in projections</v>
      </c>
      <c r="E5" s="1" t="str">
        <f t="shared" si="5"/>
        <v>Low</v>
      </c>
      <c r="F5" s="1" t="str">
        <f>"Review budgeting process"</f>
        <v>Review budgeting process</v>
      </c>
      <c r="G5" s="1" t="str">
        <f t="shared" ref="G5:I5" si="8">""</f>
        <v/>
      </c>
      <c r="H5" s="1" t="str">
        <f t="shared" si="8"/>
        <v/>
      </c>
      <c r="I5" s="1" t="str">
        <f t="shared" si="8"/>
        <v/>
      </c>
    </row>
    <row r="6">
      <c r="A6" s="1" t="str">
        <f t="shared" si="3"/>
        <v>Financial</v>
      </c>
      <c r="B6" s="1" t="str">
        <f>"Store-Level P&amp;Ls"</f>
        <v>Store-Level P&amp;Ls</v>
      </c>
      <c r="C6" s="1" t="str">
        <f t="shared" si="4"/>
        <v>Complete</v>
      </c>
      <c r="D6" s="1" t="str">
        <f>"EBITDA margins range 15-22%; new stores outperforming legacy units by 32% on average; 2 underperforming locations identified"</f>
        <v>EBITDA margins range 15-22%; new stores outperforming legacy units by 32% on average; 2 underperforming locations identified</v>
      </c>
      <c r="E6" s="1" t="str">
        <f>"Medium"</f>
        <v>Medium</v>
      </c>
      <c r="F6" s="1" t="str">
        <f>"Analyze turnaround potential for underperformers"</f>
        <v>Analyze turnaround potential for underperformers</v>
      </c>
      <c r="G6" s="1" t="str">
        <f t="shared" ref="G6:I6" si="9">""</f>
        <v/>
      </c>
      <c r="H6" s="1" t="str">
        <f t="shared" si="9"/>
        <v/>
      </c>
      <c r="I6" s="1" t="str">
        <f t="shared" si="9"/>
        <v/>
      </c>
    </row>
    <row r="7">
      <c r="A7" s="1" t="str">
        <f t="shared" si="3"/>
        <v>Financial</v>
      </c>
      <c r="B7" s="1" t="str">
        <f>"Working Capital Analysis"</f>
        <v>Working Capital Analysis</v>
      </c>
      <c r="C7" s="1" t="str">
        <f t="shared" si="4"/>
        <v>Complete</v>
      </c>
      <c r="D7" s="1" t="str">
        <f>"16.1% of revenue; limited seasonality; healthy payables terms (45 days)"</f>
        <v>16.1% of revenue; limited seasonality; healthy payables terms (45 days)</v>
      </c>
      <c r="E7" s="1" t="str">
        <f t="shared" ref="E7:E8" si="11">"Low"</f>
        <v>Low</v>
      </c>
      <c r="F7" s="1" t="str">
        <f t="shared" ref="F7:F8" si="12">"None"</f>
        <v>None</v>
      </c>
      <c r="G7" s="1" t="str">
        <f t="shared" ref="G7:I7" si="10">""</f>
        <v/>
      </c>
      <c r="H7" s="1" t="str">
        <f t="shared" si="10"/>
        <v/>
      </c>
      <c r="I7" s="1" t="str">
        <f t="shared" si="10"/>
        <v/>
      </c>
    </row>
    <row r="8">
      <c r="A8" s="1" t="str">
        <f t="shared" ref="A8:A10" si="14">"Customer"</f>
        <v>Customer</v>
      </c>
      <c r="B8" s="1" t="str">
        <f>"Customer Concentration"</f>
        <v>Customer Concentration</v>
      </c>
      <c r="C8" s="1" t="str">
        <f t="shared" si="4"/>
        <v>Complete</v>
      </c>
      <c r="D8" s="1" t="str">
        <f>"No single customer &gt;0.5% of revenue; B2B segment represents 8% of total revenue"</f>
        <v>No single customer &gt;0.5% of revenue; B2B segment represents 8% of total revenue</v>
      </c>
      <c r="E8" s="1" t="str">
        <f t="shared" si="11"/>
        <v>Low</v>
      </c>
      <c r="F8" s="1" t="str">
        <f t="shared" si="12"/>
        <v>None</v>
      </c>
      <c r="G8" s="1" t="str">
        <f t="shared" ref="G8:I8" si="13">""</f>
        <v/>
      </c>
      <c r="H8" s="1" t="str">
        <f t="shared" si="13"/>
        <v/>
      </c>
      <c r="I8" s="1" t="str">
        <f t="shared" si="13"/>
        <v/>
      </c>
    </row>
    <row r="9">
      <c r="A9" s="1" t="str">
        <f t="shared" si="14"/>
        <v>Customer</v>
      </c>
      <c r="B9" s="1" t="str">
        <f>"Customer Demographics"</f>
        <v>Customer Demographics</v>
      </c>
      <c r="C9" s="1" t="str">
        <f t="shared" si="4"/>
        <v>Complete</v>
      </c>
      <c r="D9" s="1" t="str">
        <f>"Core customers: affluent households ($125K+)"</f>
        <v>Core customers: affluent households ($125K+)</v>
      </c>
      <c r="E9" s="1" t="str">
        <f>"college-educated; 82% cite quality over price as primary purchase driver"</f>
        <v>college-educated; 82% cite quality over price as primary purchase driver</v>
      </c>
      <c r="F9" s="1" t="str">
        <f>"Low"</f>
        <v>Low</v>
      </c>
      <c r="H9" s="1" t="str">
        <f t="shared" ref="H9:I9" si="15">""</f>
        <v/>
      </c>
      <c r="I9" s="1" t="str">
        <f t="shared" si="15"/>
        <v/>
      </c>
    </row>
    <row r="10">
      <c r="A10" s="1" t="str">
        <f t="shared" si="14"/>
        <v>Customer</v>
      </c>
      <c r="B10" s="1" t="str">
        <f>"E-commerce Performance"</f>
        <v>E-commerce Performance</v>
      </c>
      <c r="C10" s="1" t="str">
        <f t="shared" si="4"/>
        <v>Complete</v>
      </c>
      <c r="D10" s="1" t="str">
        <f>"18.2% of revenue with 24% annual growth; 28% higher basket size than in-store purchases"</f>
        <v>18.2% of revenue with 24% annual growth; 28% higher basket size than in-store purchases</v>
      </c>
      <c r="E10" s="1" t="str">
        <f>"Low"</f>
        <v>Low</v>
      </c>
      <c r="F10" s="1" t="str">
        <f>"Assess tech stack scalability"</f>
        <v>Assess tech stack scalability</v>
      </c>
      <c r="G10" s="1" t="str">
        <f t="shared" ref="G10:I10" si="16">""</f>
        <v/>
      </c>
      <c r="H10" s="1" t="str">
        <f t="shared" si="16"/>
        <v/>
      </c>
      <c r="I10" s="1" t="str">
        <f t="shared" si="16"/>
        <v/>
      </c>
    </row>
    <row r="11">
      <c r="A11" s="1" t="str">
        <f t="shared" ref="A11:A14" si="17">"Operational"</f>
        <v>Operational</v>
      </c>
      <c r="B11" s="1" t="str">
        <f>"Store Locations &amp; Performance"</f>
        <v>Store Locations &amp; Performance</v>
      </c>
      <c r="C11" s="1" t="str">
        <f t="shared" si="4"/>
        <v>Complete</v>
      </c>
      <c r="D11" s="1" t="str">
        <f>"17 stores across TX (14)"</f>
        <v>17 stores across TX (14)</v>
      </c>
      <c r="E11" s="1" t="str">
        <f>"OK (2)"</f>
        <v>OK (2)</v>
      </c>
      <c r="F11" s="1" t="str">
        <f>"LA (1); 82% of revenue from Texas locations"</f>
        <v>LA (1); 82% of revenue from Texas locations</v>
      </c>
      <c r="I11" s="1" t="str">
        <f>""</f>
        <v/>
      </c>
    </row>
    <row r="12">
      <c r="A12" s="1" t="str">
        <f t="shared" si="17"/>
        <v>Operational</v>
      </c>
      <c r="B12" s="1" t="str">
        <f>"Real Estate Summary"</f>
        <v>Real Estate Summary</v>
      </c>
      <c r="C12" s="1" t="str">
        <f t="shared" si="4"/>
        <v>Complete</v>
      </c>
      <c r="D12" s="1" t="str">
        <f>"14 leased locations (avg. 6.3 years remaining); 3 owned properties; 4 leases expiring within 24 months"</f>
        <v>14 leased locations (avg. 6.3 years remaining); 3 owned properties; 4 leases expiring within 24 months</v>
      </c>
      <c r="E12" s="1" t="str">
        <f>"Medium"</f>
        <v>Medium</v>
      </c>
      <c r="F12" s="1" t="str">
        <f>"Initiate renewal discussions for expiring leases"</f>
        <v>Initiate renewal discussions for expiring leases</v>
      </c>
      <c r="G12" s="1" t="str">
        <f t="shared" ref="G12:I12" si="18">""</f>
        <v/>
      </c>
      <c r="H12" s="1" t="str">
        <f t="shared" si="18"/>
        <v/>
      </c>
      <c r="I12" s="1" t="str">
        <f t="shared" si="18"/>
        <v/>
      </c>
    </row>
    <row r="13">
      <c r="A13" s="1" t="str">
        <f t="shared" si="17"/>
        <v>Operational</v>
      </c>
      <c r="B13" s="1" t="str">
        <f>"Supply Chain Overview"</f>
        <v>Supply Chain Overview</v>
      </c>
      <c r="C13" s="1" t="str">
        <f t="shared" si="4"/>
        <v>Complete</v>
      </c>
      <c r="D13" s="1" t="str">
        <f>"120+ local producers (35% of merchandise); private label 22% of revenue; no vendor &gt;7% of purchases"</f>
        <v>120+ local producers (35% of merchandise); private label 22% of revenue; no vendor &gt;7% of purchases</v>
      </c>
      <c r="E13" s="1" t="str">
        <f t="shared" ref="E13:E17" si="20">"Low"</f>
        <v>Low</v>
      </c>
      <c r="F13" s="1" t="str">
        <f>"Review contract terms with key suppliers"</f>
        <v>Review contract terms with key suppliers</v>
      </c>
      <c r="G13" s="1" t="str">
        <f t="shared" ref="G13:I13" si="19">""</f>
        <v/>
      </c>
      <c r="H13" s="1" t="str">
        <f t="shared" si="19"/>
        <v/>
      </c>
      <c r="I13" s="1" t="str">
        <f t="shared" si="19"/>
        <v/>
      </c>
    </row>
    <row r="14">
      <c r="A14" s="1" t="str">
        <f t="shared" si="17"/>
        <v>Operational</v>
      </c>
      <c r="B14" s="1" t="str">
        <f>"Inventory Management"</f>
        <v>Inventory Management</v>
      </c>
      <c r="C14" s="1" t="str">
        <f t="shared" si="4"/>
        <v>Complete</v>
      </c>
      <c r="D14" s="1" t="str">
        <f>"Inventory turns of 12.5x vs. industry benchmark of 8-10x; 1.2% shrink rate vs. industry 1.8%"</f>
        <v>Inventory turns of 12.5x vs. industry benchmark of 8-10x; 1.2% shrink rate vs. industry 1.8%</v>
      </c>
      <c r="E14" s="1" t="str">
        <f t="shared" si="20"/>
        <v>Low</v>
      </c>
      <c r="F14" s="1" t="str">
        <f>"None"</f>
        <v>None</v>
      </c>
      <c r="G14" s="1" t="str">
        <f t="shared" ref="G14:I14" si="21">""</f>
        <v/>
      </c>
      <c r="H14" s="1" t="str">
        <f t="shared" si="21"/>
        <v/>
      </c>
      <c r="I14" s="1" t="str">
        <f t="shared" si="21"/>
        <v/>
      </c>
    </row>
    <row r="15">
      <c r="A15" s="1" t="str">
        <f t="shared" ref="A15:A17" si="23">"Legal"</f>
        <v>Legal</v>
      </c>
      <c r="B15" s="1" t="str">
        <f>"Material Contracts"</f>
        <v>Material Contracts</v>
      </c>
      <c r="C15" s="1" t="str">
        <f t="shared" si="4"/>
        <v>Complete</v>
      </c>
      <c r="D15" s="1" t="str">
        <f>"No change-of-control issues identified; 3 key supplier agreements require notification"</f>
        <v>No change-of-control issues identified; 3 key supplier agreements require notification</v>
      </c>
      <c r="E15" s="1" t="str">
        <f t="shared" si="20"/>
        <v>Low</v>
      </c>
      <c r="F15" s="1" t="str">
        <f>"Review notification requirements"</f>
        <v>Review notification requirements</v>
      </c>
      <c r="G15" s="1" t="str">
        <f t="shared" ref="G15:I15" si="22">""</f>
        <v/>
      </c>
      <c r="H15" s="1" t="str">
        <f t="shared" si="22"/>
        <v/>
      </c>
      <c r="I15" s="1" t="str">
        <f t="shared" si="22"/>
        <v/>
      </c>
    </row>
    <row r="16">
      <c r="A16" s="1" t="str">
        <f t="shared" si="23"/>
        <v>Legal</v>
      </c>
      <c r="B16" s="1" t="str">
        <f>"Litigation Summary"</f>
        <v>Litigation Summary</v>
      </c>
      <c r="C16" s="1" t="str">
        <f t="shared" si="4"/>
        <v>Complete</v>
      </c>
      <c r="D16" s="1" t="str">
        <f>"No material pending or threatened litigation; 2 minor employment claims fully reserved"</f>
        <v>No material pending or threatened litigation; 2 minor employment claims fully reserved</v>
      </c>
      <c r="E16" s="1" t="str">
        <f t="shared" si="20"/>
        <v>Low</v>
      </c>
      <c r="F16" s="1" t="str">
        <f t="shared" ref="F16:F17" si="25">"None"</f>
        <v>None</v>
      </c>
      <c r="G16" s="1" t="str">
        <f t="shared" ref="G16:I16" si="24">""</f>
        <v/>
      </c>
      <c r="H16" s="1" t="str">
        <f t="shared" si="24"/>
        <v/>
      </c>
      <c r="I16" s="1" t="str">
        <f t="shared" si="24"/>
        <v/>
      </c>
    </row>
    <row r="17">
      <c r="A17" s="1" t="str">
        <f t="shared" si="23"/>
        <v>Legal</v>
      </c>
      <c r="B17" s="1" t="str">
        <f>"Regulatory Compliance"</f>
        <v>Regulatory Compliance</v>
      </c>
      <c r="C17" s="1" t="str">
        <f t="shared" si="4"/>
        <v>Complete</v>
      </c>
      <c r="D17" s="1" t="str">
        <f>"Clean FDA/health department record; organic certification current; no material compliance issues"</f>
        <v>Clean FDA/health department record; organic certification current; no material compliance issues</v>
      </c>
      <c r="E17" s="1" t="str">
        <f t="shared" si="20"/>
        <v>Low</v>
      </c>
      <c r="F17" s="1" t="str">
        <f t="shared" si="25"/>
        <v>None</v>
      </c>
      <c r="G17" s="1" t="str">
        <f t="shared" ref="G17:I17" si="26">""</f>
        <v/>
      </c>
      <c r="H17" s="1" t="str">
        <f t="shared" si="26"/>
        <v/>
      </c>
      <c r="I17" s="1" t="str">
        <f t="shared" si="26"/>
        <v/>
      </c>
    </row>
    <row r="18">
      <c r="A18" s="1" t="str">
        <f t="shared" ref="A18:A19" si="28">"Market"</f>
        <v>Market</v>
      </c>
      <c r="B18" s="1" t="str">
        <f>"Competitive Analysis"</f>
        <v>Competitive Analysis</v>
      </c>
      <c r="C18" s="1" t="str">
        <f t="shared" si="4"/>
        <v>Complete</v>
      </c>
      <c r="D18" s="1" t="str">
        <f>"Primary competition from Whole Foods and Sprouts; limited direct competition in 8 of 17 markets"</f>
        <v>Primary competition from Whole Foods and Sprouts; limited direct competition in 8 of 17 markets</v>
      </c>
      <c r="E18" s="1" t="str">
        <f>"Medium"</f>
        <v>Medium</v>
      </c>
      <c r="F18" s="1" t="str">
        <f>"Monitor conventional grocer organic initiatives"</f>
        <v>Monitor conventional grocer organic initiatives</v>
      </c>
      <c r="G18" s="1" t="str">
        <f t="shared" ref="G18:I18" si="27">""</f>
        <v/>
      </c>
      <c r="H18" s="1" t="str">
        <f t="shared" si="27"/>
        <v/>
      </c>
      <c r="I18" s="1" t="str">
        <f t="shared" si="27"/>
        <v/>
      </c>
    </row>
    <row r="19">
      <c r="A19" s="1" t="str">
        <f t="shared" si="28"/>
        <v>Market</v>
      </c>
      <c r="B19" s="1" t="str">
        <f>"Local Market Analysis"</f>
        <v>Local Market Analysis</v>
      </c>
      <c r="C19" s="1" t="str">
        <f t="shared" si="4"/>
        <v>Complete</v>
      </c>
      <c r="D19" s="1" t="str">
        <f>"Strong demographics in current locations; 3 TX sites identified for near-term expansion"</f>
        <v>Strong demographics in current locations; 3 TX sites identified for near-term expansion</v>
      </c>
      <c r="E19" s="1" t="str">
        <f t="shared" ref="E19:E21" si="30">"Low"</f>
        <v>Low</v>
      </c>
      <c r="F19" s="1" t="str">
        <f>"Validate demographic analysis for expansion markets"</f>
        <v>Validate demographic analysis for expansion markets</v>
      </c>
      <c r="G19" s="1" t="str">
        <f t="shared" ref="G19:I19" si="29">""</f>
        <v/>
      </c>
      <c r="H19" s="1" t="str">
        <f t="shared" si="29"/>
        <v/>
      </c>
      <c r="I19" s="1" t="str">
        <f t="shared" si="29"/>
        <v/>
      </c>
    </row>
    <row r="20">
      <c r="A20" s="1" t="str">
        <f t="shared" ref="A20:A21" si="32">"Management"</f>
        <v>Management</v>
      </c>
      <c r="B20" s="1" t="str">
        <f>"Management Team Assessment"</f>
        <v>Management Team Assessment</v>
      </c>
      <c r="C20" s="1" t="str">
        <f t="shared" si="4"/>
        <v>Complete</v>
      </c>
      <c r="D20" s="1" t="str">
        <f>"Strong team with grocery experience; founder seeking partial liquidity while maintaining role; stable store management"</f>
        <v>Strong team with grocery experience; founder seeking partial liquidity while maintaining role; stable store management</v>
      </c>
      <c r="E20" s="1" t="str">
        <f t="shared" si="30"/>
        <v>Low</v>
      </c>
      <c r="F20" s="1" t="str">
        <f>"Develop retention incentives"</f>
        <v>Develop retention incentives</v>
      </c>
      <c r="G20" s="1" t="str">
        <f t="shared" ref="G20:I20" si="31">""</f>
        <v/>
      </c>
      <c r="H20" s="1" t="str">
        <f t="shared" si="31"/>
        <v/>
      </c>
      <c r="I20" s="1" t="str">
        <f t="shared" si="31"/>
        <v/>
      </c>
    </row>
    <row r="21">
      <c r="A21" s="1" t="str">
        <f t="shared" si="32"/>
        <v>Management</v>
      </c>
      <c r="B21" s="1" t="str">
        <f>"Compensation Structure"</f>
        <v>Compensation Structure</v>
      </c>
      <c r="C21" s="1" t="str">
        <f t="shared" si="4"/>
        <v>Complete</v>
      </c>
      <c r="D21" s="1" t="str">
        <f>"Aligned with profitability and growth; equity incentives for key managers; below-market base compensation"</f>
        <v>Aligned with profitability and growth; equity incentives for key managers; below-market base compensation</v>
      </c>
      <c r="E21" s="1" t="str">
        <f t="shared" si="30"/>
        <v>Low</v>
      </c>
      <c r="F21" s="1" t="str">
        <f>"Design post-close management incentive plan"</f>
        <v>Design post-close management incentive plan</v>
      </c>
      <c r="G21" s="1" t="str">
        <f t="shared" ref="G21:I21" si="33">""</f>
        <v/>
      </c>
      <c r="H21" s="1" t="str">
        <f t="shared" si="33"/>
        <v/>
      </c>
      <c r="I21" s="1" t="str">
        <f t="shared" si="33"/>
        <v/>
      </c>
    </row>
    <row r="22">
      <c r="A22" s="1" t="str">
        <f t="shared" ref="A22:A23" si="35">"Growth"</f>
        <v>Growth</v>
      </c>
      <c r="B22" s="1" t="str">
        <f>"Growth Strategy"</f>
        <v>Growth Strategy</v>
      </c>
      <c r="C22" s="1" t="str">
        <f t="shared" si="4"/>
        <v>Complete</v>
      </c>
      <c r="D22" s="1" t="str">
        <f>"5 new stores planned (3 TX"</f>
        <v>5 new stores planned (3 TX</v>
      </c>
      <c r="E22" s="1" t="str">
        <f>"2 AR); e-commerce expansion; private label growth to 30% penetration"</f>
        <v>2 AR); e-commerce expansion; private label growth to 30% penetration</v>
      </c>
      <c r="F22" s="1" t="str">
        <f>"Medium"</f>
        <v>Medium</v>
      </c>
      <c r="H22" s="1" t="str">
        <f t="shared" ref="H22:I22" si="34">""</f>
        <v/>
      </c>
      <c r="I22" s="1" t="str">
        <f t="shared" si="34"/>
        <v/>
      </c>
    </row>
    <row r="23">
      <c r="A23" s="1" t="str">
        <f t="shared" si="35"/>
        <v>Growth</v>
      </c>
      <c r="B23" s="1" t="str">
        <f>"New Product Development"</f>
        <v>New Product Development</v>
      </c>
      <c r="C23" s="1" t="str">
        <f t="shared" si="4"/>
        <v>Complete</v>
      </c>
      <c r="D23" s="1" t="str">
        <f>"Fresh prepared foods expansion (12% to 20% target); private label innovation pipeline"</f>
        <v>Fresh prepared foods expansion (12% to 20% target); private label innovation pipeline</v>
      </c>
      <c r="E23" s="1" t="str">
        <f>"Low"</f>
        <v>Low</v>
      </c>
      <c r="F23" s="1" t="str">
        <f>"Assess capital requirements for prepared foods"</f>
        <v>Assess capital requirements for prepared foods</v>
      </c>
      <c r="G23" s="1" t="str">
        <f t="shared" ref="G23:I23" si="36">""</f>
        <v/>
      </c>
      <c r="H23" s="1" t="str">
        <f t="shared" si="36"/>
        <v/>
      </c>
      <c r="I23" s="1" t="str">
        <f t="shared" si="36"/>
        <v/>
      </c>
    </row>
    <row r="24">
      <c r="I24" s="1" t="str">
        <f t="shared" ref="I24:I26" si="37">""</f>
        <v/>
      </c>
    </row>
    <row r="25">
      <c r="I25" s="1" t="str">
        <f t="shared" si="37"/>
        <v/>
      </c>
    </row>
    <row r="26">
      <c r="I26" s="1" t="str">
        <f t="shared" si="37"/>
        <v/>
      </c>
    </row>
    <row r="28">
      <c r="I28" s="1" t="str">
        <f t="shared" ref="I28:I36" si="38">""</f>
        <v/>
      </c>
    </row>
    <row r="29">
      <c r="I29" s="1" t="str">
        <f t="shared" si="38"/>
        <v/>
      </c>
    </row>
    <row r="30">
      <c r="I30" s="1" t="str">
        <f t="shared" si="38"/>
        <v/>
      </c>
    </row>
    <row r="31">
      <c r="I31" s="1" t="str">
        <f t="shared" si="38"/>
        <v/>
      </c>
    </row>
    <row r="32">
      <c r="I32" s="1" t="str">
        <f t="shared" si="38"/>
        <v/>
      </c>
    </row>
    <row r="33">
      <c r="I33" s="1" t="str">
        <f t="shared" si="38"/>
        <v/>
      </c>
    </row>
    <row r="34">
      <c r="I34" s="1" t="str">
        <f t="shared" si="38"/>
        <v/>
      </c>
    </row>
    <row r="35">
      <c r="I35" s="1" t="str">
        <f t="shared" si="38"/>
        <v/>
      </c>
    </row>
    <row r="36">
      <c r="I36" s="1" t="str">
        <f t="shared" si="38"/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9.5"/>
    <col customWidth="1" min="3" max="3" width="21.5"/>
    <col customWidth="1" min="4" max="4" width="30.88"/>
  </cols>
  <sheetData>
    <row r="1">
      <c r="A1" s="1" t="str">
        <f>"Category"</f>
        <v>Category</v>
      </c>
      <c r="B1" s="1" t="str">
        <f>"Item"</f>
        <v>Item</v>
      </c>
      <c r="C1" s="1" t="str">
        <f>"Value"</f>
        <v>Value</v>
      </c>
      <c r="D1" s="1" t="str">
        <f>"Notes"</f>
        <v>Notes</v>
      </c>
    </row>
    <row r="2">
      <c r="A2" s="1" t="str">
        <f t="shared" ref="A2:A9" si="1">"Transaction"</f>
        <v>Transaction</v>
      </c>
      <c r="B2" s="1" t="str">
        <f>"Target Company"</f>
        <v>Target Company</v>
      </c>
      <c r="C2" s="1" t="str">
        <f>"Fresh Horizon Foods"</f>
        <v>Fresh Horizon Foods</v>
      </c>
      <c r="D2" s="1" t="str">
        <f>"Specialty organic grocery retailer"</f>
        <v>Specialty organic grocery retailer</v>
      </c>
    </row>
    <row r="3">
      <c r="A3" s="1" t="str">
        <f t="shared" si="1"/>
        <v>Transaction</v>
      </c>
      <c r="B3" s="1" t="str">
        <f>"Close Date"</f>
        <v>Close Date</v>
      </c>
      <c r="C3" s="1" t="str">
        <f>"August 1 2025"</f>
        <v>August 1 2025</v>
      </c>
      <c r="D3" s="1" t="str">
        <f>"Expected transaction close"</f>
        <v>Expected transaction close</v>
      </c>
    </row>
    <row r="4">
      <c r="A4" s="1" t="str">
        <f t="shared" si="1"/>
        <v>Transaction</v>
      </c>
      <c r="B4" s="1" t="str">
        <f>"LTM EBITDA"</f>
        <v>LTM EBITDA</v>
      </c>
      <c r="C4" s="1" t="str">
        <f>"$12.7M"</f>
        <v>$12.7M</v>
      </c>
      <c r="D4" s="1" t="str">
        <f>"As of March 2025"</f>
        <v>As of March 2025</v>
      </c>
    </row>
    <row r="5">
      <c r="A5" s="1" t="str">
        <f t="shared" si="1"/>
        <v>Transaction</v>
      </c>
      <c r="B5" s="1" t="str">
        <f>"Purchase Multiple"</f>
        <v>Purchase Multiple</v>
      </c>
      <c r="C5" s="1" t="str">
        <f>"6.7x"</f>
        <v>6.7x</v>
      </c>
      <c r="D5" s="1" t="str">
        <f>"Based on comparable transactions"</f>
        <v>Based on comparable transactions</v>
      </c>
    </row>
    <row r="6">
      <c r="A6" s="1" t="str">
        <f t="shared" si="1"/>
        <v>Transaction</v>
      </c>
      <c r="B6" s="1" t="str">
        <f>"Enterprise Value"</f>
        <v>Enterprise Value</v>
      </c>
      <c r="C6" s="1" t="str">
        <f>"$85.1M"</f>
        <v>$85.1M</v>
      </c>
      <c r="D6" s="1" t="str">
        <f>"LTM EBITDA * Purchase Multiple"</f>
        <v>LTM EBITDA * Purchase Multiple</v>
      </c>
    </row>
    <row r="7">
      <c r="A7" s="1" t="str">
        <f t="shared" si="1"/>
        <v>Transaction</v>
      </c>
      <c r="B7" s="1" t="str">
        <f>"Transaction Fees"</f>
        <v>Transaction Fees</v>
      </c>
      <c r="C7" s="1" t="str">
        <f>"$4.3M"</f>
        <v>$4.3M</v>
      </c>
      <c r="D7" s="1" t="str">
        <f>"5% of Enterprise Value"</f>
        <v>5% of Enterprise Value</v>
      </c>
    </row>
    <row r="8">
      <c r="A8" s="1" t="str">
        <f t="shared" si="1"/>
        <v>Transaction</v>
      </c>
      <c r="B8" s="1" t="str">
        <f>"Minimum Cash"</f>
        <v>Minimum Cash</v>
      </c>
      <c r="C8" s="1" t="str">
        <f>"$3.5M"</f>
        <v>$3.5M</v>
      </c>
      <c r="D8" s="1" t="str">
        <f>"Estimated operating requirements"</f>
        <v>Estimated operating requirements</v>
      </c>
    </row>
    <row r="9">
      <c r="A9" s="1" t="str">
        <f t="shared" si="1"/>
        <v>Transaction</v>
      </c>
      <c r="B9" s="1" t="str">
        <f>"Net Working Capital Adjustment"</f>
        <v>Net Working Capital Adjustment</v>
      </c>
      <c r="C9" s="1" t="str">
        <f>"$0.0M"</f>
        <v>$0.0M</v>
      </c>
      <c r="D9" s="1" t="str">
        <f>"Assumes closing NWC at target"</f>
        <v>Assumes closing NWC at target</v>
      </c>
    </row>
    <row r="10">
      <c r="A10" s="1" t="str">
        <f t="shared" ref="A10:A13" si="2">"Exit"</f>
        <v>Exit</v>
      </c>
      <c r="B10" s="1" t="str">
        <f>"Exit Date"</f>
        <v>Exit Date</v>
      </c>
      <c r="C10" s="1" t="str">
        <f>"August 1 2030"</f>
        <v>August 1 2030</v>
      </c>
      <c r="D10" s="1" t="str">
        <f>"Assumes 5-year hold period"</f>
        <v>Assumes 5-year hold period</v>
      </c>
    </row>
    <row r="11">
      <c r="A11" s="1" t="str">
        <f t="shared" si="2"/>
        <v>Exit</v>
      </c>
      <c r="B11" s="1" t="str">
        <f>"Exit Multiple - Base Case"</f>
        <v>Exit Multiple - Base Case</v>
      </c>
      <c r="C11" s="1" t="str">
        <f>"7.2x"</f>
        <v>7.2x</v>
      </c>
      <c r="D11" s="1" t="str">
        <f>"0.5x multiple expansion"</f>
        <v>0.5x multiple expansion</v>
      </c>
    </row>
    <row r="12">
      <c r="A12" s="1" t="str">
        <f t="shared" si="2"/>
        <v>Exit</v>
      </c>
      <c r="B12" s="1" t="str">
        <f>"Exit Multiple - Downside Case"</f>
        <v>Exit Multiple - Downside Case</v>
      </c>
      <c r="C12" s="1" t="str">
        <f>"6.2x"</f>
        <v>6.2x</v>
      </c>
      <c r="D12" s="1" t="str">
        <f>"0.5x multiple contraction"</f>
        <v>0.5x multiple contraction</v>
      </c>
    </row>
    <row r="13">
      <c r="A13" s="1" t="str">
        <f t="shared" si="2"/>
        <v>Exit</v>
      </c>
      <c r="B13" s="1" t="str">
        <f>"Exit Multiple - Upside Case"</f>
        <v>Exit Multiple - Upside Case</v>
      </c>
      <c r="C13" s="1" t="str">
        <f>"8.0x"</f>
        <v>8.0x</v>
      </c>
      <c r="D13" s="1" t="str">
        <f>"1.3x multiple expansion"</f>
        <v>1.3x multiple expansion</v>
      </c>
    </row>
    <row r="14">
      <c r="A14" s="1" t="str">
        <f t="shared" ref="A14:A23" si="3">"Debt"</f>
        <v>Debt</v>
      </c>
      <c r="B14" s="1" t="str">
        <f>"Senior Debt - Amount"</f>
        <v>Senior Debt - Amount</v>
      </c>
      <c r="C14" s="1" t="str">
        <f>"$50.8M"</f>
        <v>$50.8M</v>
      </c>
      <c r="D14" s="1" t="str">
        <f>"4.0x LTM EBITDA"</f>
        <v>4.0x LTM EBITDA</v>
      </c>
    </row>
    <row r="15">
      <c r="A15" s="1" t="str">
        <f t="shared" si="3"/>
        <v>Debt</v>
      </c>
      <c r="B15" s="1" t="str">
        <f>"Senior Debt - Interest Rate"</f>
        <v>Senior Debt - Interest Rate</v>
      </c>
      <c r="C15" s="1" t="str">
        <f>"SOFR + 425 bps"</f>
        <v>SOFR + 425 bps</v>
      </c>
      <c r="D15" s="1" t="str">
        <f>"7.5% all-in rate at close"</f>
        <v>7.5% all-in rate at close</v>
      </c>
    </row>
    <row r="16">
      <c r="A16" s="1" t="str">
        <f t="shared" si="3"/>
        <v>Debt</v>
      </c>
      <c r="B16" s="1" t="str">
        <f>"Senior Debt - Maturity"</f>
        <v>Senior Debt - Maturity</v>
      </c>
      <c r="C16" s="1" t="str">
        <f>"7 years"</f>
        <v>7 years</v>
      </c>
      <c r="D16" s="1" t="str">
        <f>"Typical term for senior debt"</f>
        <v>Typical term for senior debt</v>
      </c>
    </row>
    <row r="17">
      <c r="A17" s="1" t="str">
        <f t="shared" si="3"/>
        <v>Debt</v>
      </c>
      <c r="B17" s="1" t="str">
        <f>"Senior Debt - Amortization"</f>
        <v>Senior Debt - Amortization</v>
      </c>
      <c r="C17" s="1" t="str">
        <f>"1.0% quarterly"</f>
        <v>1.0% quarterly</v>
      </c>
      <c r="D17" s="1" t="str">
        <f>"4% annual mandatory amortization"</f>
        <v>4% annual mandatory amortization</v>
      </c>
    </row>
    <row r="18">
      <c r="A18" s="1" t="str">
        <f t="shared" si="3"/>
        <v>Debt</v>
      </c>
      <c r="B18" s="1" t="str">
        <f>"Senior Debt - Upfront Fee"</f>
        <v>Senior Debt - Upfront Fee</v>
      </c>
      <c r="C18" s="1" t="str">
        <f>"2.0%"</f>
        <v>2.0%</v>
      </c>
      <c r="D18" s="1" t="str">
        <f>"Typical for middle market lending"</f>
        <v>Typical for middle market lending</v>
      </c>
    </row>
    <row r="19">
      <c r="A19" s="1" t="str">
        <f t="shared" si="3"/>
        <v>Debt</v>
      </c>
      <c r="B19" s="1" t="str">
        <f>"Revolver - Size"</f>
        <v>Revolver - Size</v>
      </c>
      <c r="C19" s="1" t="str">
        <f>"$10.0M"</f>
        <v>$10.0M</v>
      </c>
      <c r="D19" s="1" t="str">
        <f>"For working capital needs"</f>
        <v>For working capital needs</v>
      </c>
    </row>
    <row r="20">
      <c r="A20" s="1" t="str">
        <f t="shared" si="3"/>
        <v>Debt</v>
      </c>
      <c r="B20" s="1" t="str">
        <f>"Revolver - Interest Rate"</f>
        <v>Revolver - Interest Rate</v>
      </c>
      <c r="C20" s="1" t="str">
        <f>"SOFR + 375 bps"</f>
        <v>SOFR + 375 bps</v>
      </c>
      <c r="D20" s="1" t="str">
        <f>"7.0% all-in rate at close"</f>
        <v>7.0% all-in rate at close</v>
      </c>
    </row>
    <row r="21">
      <c r="A21" s="1" t="str">
        <f t="shared" si="3"/>
        <v>Debt</v>
      </c>
      <c r="B21" s="1" t="str">
        <f>"Revolver - Maturity"</f>
        <v>Revolver - Maturity</v>
      </c>
      <c r="C21" s="1" t="str">
        <f>"5 years"</f>
        <v>5 years</v>
      </c>
      <c r="D21" s="1" t="str">
        <f>"Standard for revolving credit facility"</f>
        <v>Standard for revolving credit facility</v>
      </c>
    </row>
    <row r="22">
      <c r="A22" s="1" t="str">
        <f t="shared" si="3"/>
        <v>Debt</v>
      </c>
      <c r="B22" s="1" t="str">
        <f>"Revolver - Commitment Fee"</f>
        <v>Revolver - Commitment Fee</v>
      </c>
      <c r="C22" s="1" t="str">
        <f>"0.5%"</f>
        <v>0.5%</v>
      </c>
      <c r="D22" s="1" t="str">
        <f>"On undrawn portion"</f>
        <v>On undrawn portion</v>
      </c>
    </row>
    <row r="23">
      <c r="A23" s="1" t="str">
        <f t="shared" si="3"/>
        <v>Debt</v>
      </c>
      <c r="B23" s="1" t="str">
        <f>"Revolver - Initial Draw"</f>
        <v>Revolver - Initial Draw</v>
      </c>
      <c r="C23" s="1" t="str">
        <f>"$0.0M"</f>
        <v>$0.0M</v>
      </c>
      <c r="D23" s="1" t="str">
        <f>"Assumed undrawn at close"</f>
        <v>Assumed undrawn at close</v>
      </c>
    </row>
    <row r="24">
      <c r="A24" s="1" t="str">
        <f t="shared" ref="A24:A29" si="4">"Equity"</f>
        <v>Equity</v>
      </c>
      <c r="B24" s="1" t="str">
        <f>"Equity Contribution"</f>
        <v>Equity Contribution</v>
      </c>
      <c r="C24" s="1" t="str">
        <f>"$25.7M"</f>
        <v>$25.7M</v>
      </c>
      <c r="D24" s="1" t="str">
        <f>"30.2% of purchase price"</f>
        <v>30.2% of purchase price</v>
      </c>
    </row>
    <row r="25">
      <c r="A25" s="1" t="str">
        <f t="shared" si="4"/>
        <v>Equity</v>
      </c>
      <c r="B25" s="1" t="str">
        <f>"Management Rollover"</f>
        <v>Management Rollover</v>
      </c>
      <c r="C25" s="1" t="str">
        <f>"$8.6M"</f>
        <v>$8.6M</v>
      </c>
      <c r="D25" s="1" t="str">
        <f>"10.1% of purchase price"</f>
        <v>10.1% of purchase price</v>
      </c>
    </row>
    <row r="26">
      <c r="A26" s="1" t="str">
        <f t="shared" si="4"/>
        <v>Equity</v>
      </c>
      <c r="B26" s="1" t="str">
        <f>"Preferred Equity"</f>
        <v>Preferred Equity</v>
      </c>
      <c r="C26" s="1" t="str">
        <f>"$0.0M"</f>
        <v>$0.0M</v>
      </c>
      <c r="D26" s="1" t="str">
        <f>"Not used in transaction"</f>
        <v>Not used in transaction</v>
      </c>
    </row>
    <row r="27">
      <c r="A27" s="1" t="str">
        <f t="shared" si="4"/>
        <v>Equity</v>
      </c>
      <c r="B27" s="1" t="str">
        <f>"Sponsor Ownership"</f>
        <v>Sponsor Ownership</v>
      </c>
      <c r="C27" s="1" t="str">
        <f>"80%"</f>
        <v>80%</v>
      </c>
      <c r="D27" s="1" t="str">
        <f t="shared" ref="D27:D28" si="5">"Post transaction"</f>
        <v>Post transaction</v>
      </c>
    </row>
    <row r="28">
      <c r="A28" s="1" t="str">
        <f t="shared" si="4"/>
        <v>Equity</v>
      </c>
      <c r="B28" s="1" t="str">
        <f>"Management Ownership"</f>
        <v>Management Ownership</v>
      </c>
      <c r="C28" s="1" t="str">
        <f>"20%"</f>
        <v>20%</v>
      </c>
      <c r="D28" s="1" t="str">
        <f t="shared" si="5"/>
        <v>Post transaction</v>
      </c>
    </row>
    <row r="29">
      <c r="A29" s="1" t="str">
        <f t="shared" si="4"/>
        <v>Equity</v>
      </c>
      <c r="B29" s="1" t="str">
        <f>"Management Options Pool"</f>
        <v>Management Options Pool</v>
      </c>
      <c r="C29" s="1" t="str">
        <f>"10%"</f>
        <v>10%</v>
      </c>
      <c r="D29" s="1" t="str">
        <f>"Additional incentive pool"</f>
        <v>Additional incentive pool</v>
      </c>
    </row>
    <row r="30">
      <c r="A30" s="1" t="str">
        <f t="shared" ref="A30:A45" si="6">"Financial Projections"</f>
        <v>Financial Projections</v>
      </c>
      <c r="B30" s="1" t="str">
        <f>"Year 1 Revenue Growth"</f>
        <v>Year 1 Revenue Growth</v>
      </c>
      <c r="C30" s="1" t="str">
        <f t="shared" ref="C30:C31" si="7">"9.0%"</f>
        <v>9.0%</v>
      </c>
      <c r="D30" s="1" t="str">
        <f t="shared" ref="D30:D31" si="8">"Above historical growth rate"</f>
        <v>Above historical growth rate</v>
      </c>
    </row>
    <row r="31">
      <c r="A31" s="1" t="str">
        <f t="shared" si="6"/>
        <v>Financial Projections</v>
      </c>
      <c r="B31" s="1" t="str">
        <f>"Year 2 Revenue Growth"</f>
        <v>Year 2 Revenue Growth</v>
      </c>
      <c r="C31" s="1" t="str">
        <f t="shared" si="7"/>
        <v>9.0%</v>
      </c>
      <c r="D31" s="1" t="str">
        <f t="shared" si="8"/>
        <v>Above historical growth rate</v>
      </c>
    </row>
    <row r="32">
      <c r="A32" s="1" t="str">
        <f t="shared" si="6"/>
        <v>Financial Projections</v>
      </c>
      <c r="B32" s="1" t="str">
        <f>"Year 3 Revenue Growth"</f>
        <v>Year 3 Revenue Growth</v>
      </c>
      <c r="C32" s="1" t="str">
        <f>"8.0%"</f>
        <v>8.0%</v>
      </c>
      <c r="D32" s="1" t="str">
        <f t="shared" ref="D32:D34" si="9">"Moderating growth rate"</f>
        <v>Moderating growth rate</v>
      </c>
    </row>
    <row r="33">
      <c r="A33" s="1" t="str">
        <f t="shared" si="6"/>
        <v>Financial Projections</v>
      </c>
      <c r="B33" s="1" t="str">
        <f>"Year 4 Revenue Growth"</f>
        <v>Year 4 Revenue Growth</v>
      </c>
      <c r="C33" s="1" t="str">
        <f>"7.0%"</f>
        <v>7.0%</v>
      </c>
      <c r="D33" s="1" t="str">
        <f t="shared" si="9"/>
        <v>Moderating growth rate</v>
      </c>
    </row>
    <row r="34">
      <c r="A34" s="1" t="str">
        <f t="shared" si="6"/>
        <v>Financial Projections</v>
      </c>
      <c r="B34" s="1" t="str">
        <f>"Year 5 Revenue Growth"</f>
        <v>Year 5 Revenue Growth</v>
      </c>
      <c r="C34" s="1" t="str">
        <f>"6.0%"</f>
        <v>6.0%</v>
      </c>
      <c r="D34" s="1" t="str">
        <f t="shared" si="9"/>
        <v>Moderating growth rate</v>
      </c>
    </row>
    <row r="35">
      <c r="A35" s="1" t="str">
        <f t="shared" si="6"/>
        <v>Financial Projections</v>
      </c>
      <c r="B35" s="1" t="str">
        <f>"Year 1 EBITDA Margin"</f>
        <v>Year 1 EBITDA Margin</v>
      </c>
      <c r="C35" s="1" t="str">
        <f>"14.2%"</f>
        <v>14.2%</v>
      </c>
      <c r="D35" s="1" t="str">
        <f>"Slight expansion from LTM"</f>
        <v>Slight expansion from LTM</v>
      </c>
    </row>
    <row r="36">
      <c r="A36" s="1" t="str">
        <f t="shared" si="6"/>
        <v>Financial Projections</v>
      </c>
      <c r="B36" s="1" t="str">
        <f>"Year 2 EBITDA Margin"</f>
        <v>Year 2 EBITDA Margin</v>
      </c>
      <c r="C36" s="1" t="str">
        <f>"14.5%"</f>
        <v>14.5%</v>
      </c>
      <c r="D36" s="1" t="str">
        <f t="shared" ref="D36:D37" si="10">"Continuing improvement"</f>
        <v>Continuing improvement</v>
      </c>
    </row>
    <row r="37">
      <c r="A37" s="1" t="str">
        <f t="shared" si="6"/>
        <v>Financial Projections</v>
      </c>
      <c r="B37" s="1" t="str">
        <f>"Year 3 EBITDA Margin"</f>
        <v>Year 3 EBITDA Margin</v>
      </c>
      <c r="C37" s="1" t="str">
        <f>"14.8%"</f>
        <v>14.8%</v>
      </c>
      <c r="D37" s="1" t="str">
        <f t="shared" si="10"/>
        <v>Continuing improvement</v>
      </c>
    </row>
    <row r="38">
      <c r="A38" s="1" t="str">
        <f t="shared" si="6"/>
        <v>Financial Projections</v>
      </c>
      <c r="B38" s="1" t="str">
        <f>"Year 4 EBITDA Margin"</f>
        <v>Year 4 EBITDA Margin</v>
      </c>
      <c r="C38" s="1" t="str">
        <f>"15.0%"</f>
        <v>15.0%</v>
      </c>
      <c r="D38" s="1" t="str">
        <f>"Stabilizing margin"</f>
        <v>Stabilizing margin</v>
      </c>
    </row>
    <row r="39">
      <c r="A39" s="1" t="str">
        <f t="shared" si="6"/>
        <v>Financial Projections</v>
      </c>
      <c r="B39" s="1" t="str">
        <f>"Year 5 EBITDA Margin"</f>
        <v>Year 5 EBITDA Margin</v>
      </c>
      <c r="C39" s="1" t="str">
        <f>"15.2%"</f>
        <v>15.2%</v>
      </c>
      <c r="D39" s="1" t="str">
        <f>"Terminal margin"</f>
        <v>Terminal margin</v>
      </c>
    </row>
    <row r="40">
      <c r="A40" s="1" t="str">
        <f t="shared" si="6"/>
        <v>Financial Projections</v>
      </c>
      <c r="B40" s="1" t="str">
        <f>"D&amp;A (% of Revenue)"</f>
        <v>D&amp;A (% of Revenue)</v>
      </c>
      <c r="C40" s="1" t="str">
        <f>"3.8%"</f>
        <v>3.8%</v>
      </c>
      <c r="D40" s="1" t="str">
        <f t="shared" ref="D40:D44" si="11">"Based on historical average"</f>
        <v>Based on historical average</v>
      </c>
    </row>
    <row r="41">
      <c r="A41" s="1" t="str">
        <f t="shared" si="6"/>
        <v>Financial Projections</v>
      </c>
      <c r="B41" s="1" t="str">
        <f>"Maintenance Capex (% of Revenue)"</f>
        <v>Maintenance Capex (% of Revenue)</v>
      </c>
      <c r="C41" s="1" t="str">
        <f t="shared" ref="C41:C42" si="12">"2.0%"</f>
        <v>2.0%</v>
      </c>
      <c r="D41" s="1" t="str">
        <f t="shared" si="11"/>
        <v>Based on historical average</v>
      </c>
    </row>
    <row r="42">
      <c r="A42" s="1" t="str">
        <f t="shared" si="6"/>
        <v>Financial Projections</v>
      </c>
      <c r="B42" s="1" t="str">
        <f>"Growth Capex (% of Revenue)"</f>
        <v>Growth Capex (% of Revenue)</v>
      </c>
      <c r="C42" s="1" t="str">
        <f t="shared" si="12"/>
        <v>2.0%</v>
      </c>
      <c r="D42" s="1" t="str">
        <f t="shared" si="11"/>
        <v>Based on historical average</v>
      </c>
    </row>
    <row r="43">
      <c r="A43" s="1" t="str">
        <f t="shared" si="6"/>
        <v>Financial Projections</v>
      </c>
      <c r="B43" s="1" t="str">
        <f>"NWC (% of Revenue)"</f>
        <v>NWC (% of Revenue)</v>
      </c>
      <c r="C43" s="1" t="str">
        <f t="shared" ref="C43:C44" si="13">"16.0%"</f>
        <v>16.0%</v>
      </c>
      <c r="D43" s="1" t="str">
        <f t="shared" si="11"/>
        <v>Based on historical average</v>
      </c>
    </row>
    <row r="44">
      <c r="A44" s="1" t="str">
        <f t="shared" si="6"/>
        <v>Financial Projections</v>
      </c>
      <c r="B44" s="1" t="str">
        <f>"Change in NWC (% of Revenue Change)"</f>
        <v>Change in NWC (% of Revenue Change)</v>
      </c>
      <c r="C44" s="1" t="str">
        <f t="shared" si="13"/>
        <v>16.0%</v>
      </c>
      <c r="D44" s="1" t="str">
        <f t="shared" si="11"/>
        <v>Based on historical average</v>
      </c>
    </row>
    <row r="45">
      <c r="A45" s="1" t="str">
        <f t="shared" si="6"/>
        <v>Financial Projections</v>
      </c>
      <c r="B45" s="1" t="str">
        <f>"Tax Rate"</f>
        <v>Tax Rate</v>
      </c>
      <c r="C45" s="1" t="str">
        <f>"26.0%"</f>
        <v>26.0%</v>
      </c>
      <c r="D45" s="1" t="str">
        <f>"Effective corporate tax rate"</f>
        <v>Effective corporate tax rate</v>
      </c>
    </row>
    <row r="46">
      <c r="A46" s="1" t="str">
        <f t="shared" ref="A46:A73" si="14">"Operational Improvements"</f>
        <v>Operational Improvements</v>
      </c>
      <c r="B46" s="1" t="str">
        <f>"New Store Openings - Year 1"</f>
        <v>New Store Openings - Year 1</v>
      </c>
      <c r="C46" s="1" t="str">
        <f t="shared" ref="C46:C47" si="15">"3"</f>
        <v>3</v>
      </c>
      <c r="D46" s="1" t="str">
        <f>"Texas locations identified"</f>
        <v>Texas locations identified</v>
      </c>
    </row>
    <row r="47">
      <c r="A47" s="1" t="str">
        <f t="shared" si="14"/>
        <v>Operational Improvements</v>
      </c>
      <c r="B47" s="1" t="str">
        <f>"New Store Openings - Year 2"</f>
        <v>New Store Openings - Year 2</v>
      </c>
      <c r="C47" s="1" t="str">
        <f t="shared" si="15"/>
        <v>3</v>
      </c>
      <c r="D47" s="1" t="str">
        <f>"Including Arkansas expansion"</f>
        <v>Including Arkansas expansion</v>
      </c>
    </row>
    <row r="48">
      <c r="A48" s="1" t="str">
        <f t="shared" si="14"/>
        <v>Operational Improvements</v>
      </c>
      <c r="B48" s="1" t="str">
        <f>"New Store Openings - Year 3"</f>
        <v>New Store Openings - Year 3</v>
      </c>
      <c r="C48" s="1" t="str">
        <f t="shared" ref="C48:C50" si="16">"2"</f>
        <v>2</v>
      </c>
      <c r="D48" s="1" t="str">
        <f t="shared" ref="D48:D50" si="17">"Selective expansion"</f>
        <v>Selective expansion</v>
      </c>
    </row>
    <row r="49">
      <c r="A49" s="1" t="str">
        <f t="shared" si="14"/>
        <v>Operational Improvements</v>
      </c>
      <c r="B49" s="1" t="str">
        <f>"New Store Openings - Year 4"</f>
        <v>New Store Openings - Year 4</v>
      </c>
      <c r="C49" s="1" t="str">
        <f t="shared" si="16"/>
        <v>2</v>
      </c>
      <c r="D49" s="1" t="str">
        <f t="shared" si="17"/>
        <v>Selective expansion</v>
      </c>
    </row>
    <row r="50">
      <c r="A50" s="1" t="str">
        <f t="shared" si="14"/>
        <v>Operational Improvements</v>
      </c>
      <c r="B50" s="1" t="str">
        <f>"New Store Openings - Year 5"</f>
        <v>New Store Openings - Year 5</v>
      </c>
      <c r="C50" s="1" t="str">
        <f t="shared" si="16"/>
        <v>2</v>
      </c>
      <c r="D50" s="1" t="str">
        <f t="shared" si="17"/>
        <v>Selective expansion</v>
      </c>
    </row>
    <row r="51">
      <c r="A51" s="1" t="str">
        <f t="shared" si="14"/>
        <v>Operational Improvements</v>
      </c>
      <c r="B51" s="1" t="str">
        <f>"New Store Ramp Period"</f>
        <v>New Store Ramp Period</v>
      </c>
      <c r="C51" s="1" t="str">
        <f>"18 months"</f>
        <v>18 months</v>
      </c>
      <c r="D51" s="1" t="str">
        <f>"Time to reach mature profitability"</f>
        <v>Time to reach mature profitability</v>
      </c>
    </row>
    <row r="52">
      <c r="A52" s="1" t="str">
        <f t="shared" si="14"/>
        <v>Operational Improvements</v>
      </c>
      <c r="B52" s="1" t="str">
        <f>"E-commerce Growth - Year 1"</f>
        <v>E-commerce Growth - Year 1</v>
      </c>
      <c r="C52" s="1" t="str">
        <f>"25%"</f>
        <v>25%</v>
      </c>
      <c r="D52" s="1" t="str">
        <f t="shared" ref="D52:D56" si="18">"Above store growth rate"</f>
        <v>Above store growth rate</v>
      </c>
    </row>
    <row r="53">
      <c r="A53" s="1" t="str">
        <f t="shared" si="14"/>
        <v>Operational Improvements</v>
      </c>
      <c r="B53" s="1" t="str">
        <f>"E-commerce Growth - Year 2"</f>
        <v>E-commerce Growth - Year 2</v>
      </c>
      <c r="C53" s="1" t="str">
        <f>"22%"</f>
        <v>22%</v>
      </c>
      <c r="D53" s="1" t="str">
        <f t="shared" si="18"/>
        <v>Above store growth rate</v>
      </c>
    </row>
    <row r="54">
      <c r="A54" s="1" t="str">
        <f t="shared" si="14"/>
        <v>Operational Improvements</v>
      </c>
      <c r="B54" s="1" t="str">
        <f>"E-commerce Growth - Year 3"</f>
        <v>E-commerce Growth - Year 3</v>
      </c>
      <c r="C54" s="1" t="str">
        <f>"20%"</f>
        <v>20%</v>
      </c>
      <c r="D54" s="1" t="str">
        <f t="shared" si="18"/>
        <v>Above store growth rate</v>
      </c>
    </row>
    <row r="55">
      <c r="A55" s="1" t="str">
        <f t="shared" si="14"/>
        <v>Operational Improvements</v>
      </c>
      <c r="B55" s="1" t="str">
        <f>"E-commerce Growth - Year 4"</f>
        <v>E-commerce Growth - Year 4</v>
      </c>
      <c r="C55" s="1" t="str">
        <f>"15%"</f>
        <v>15%</v>
      </c>
      <c r="D55" s="1" t="str">
        <f t="shared" si="18"/>
        <v>Above store growth rate</v>
      </c>
    </row>
    <row r="56">
      <c r="A56" s="1" t="str">
        <f t="shared" si="14"/>
        <v>Operational Improvements</v>
      </c>
      <c r="B56" s="1" t="str">
        <f>"E-commerce Growth - Year 5"</f>
        <v>E-commerce Growth - Year 5</v>
      </c>
      <c r="C56" s="1" t="str">
        <f>"12%"</f>
        <v>12%</v>
      </c>
      <c r="D56" s="1" t="str">
        <f t="shared" si="18"/>
        <v>Above store growth rate</v>
      </c>
    </row>
    <row r="57">
      <c r="A57" s="1" t="str">
        <f t="shared" si="14"/>
        <v>Operational Improvements</v>
      </c>
      <c r="B57" s="1" t="str">
        <f>"E-commerce Margin Premium"</f>
        <v>E-commerce Margin Premium</v>
      </c>
      <c r="C57" s="1" t="str">
        <f>"2.0%"</f>
        <v>2.0%</v>
      </c>
      <c r="D57" s="1" t="str">
        <f>"Higher margin than in-store"</f>
        <v>Higher margin than in-store</v>
      </c>
    </row>
    <row r="58">
      <c r="A58" s="1" t="str">
        <f t="shared" si="14"/>
        <v>Operational Improvements</v>
      </c>
      <c r="B58" s="1" t="str">
        <f>"Private Label Penetration - Year 1"</f>
        <v>Private Label Penetration - Year 1</v>
      </c>
      <c r="C58" s="1" t="str">
        <f>"25%"</f>
        <v>25%</v>
      </c>
      <c r="D58" s="1" t="str">
        <f>"From current 22%"</f>
        <v>From current 22%</v>
      </c>
    </row>
    <row r="59">
      <c r="A59" s="1" t="str">
        <f t="shared" si="14"/>
        <v>Operational Improvements</v>
      </c>
      <c r="B59" s="1" t="str">
        <f>"Private Label Penetration - Year 2"</f>
        <v>Private Label Penetration - Year 2</v>
      </c>
      <c r="C59" s="1" t="str">
        <f>"27%"</f>
        <v>27%</v>
      </c>
      <c r="D59" s="1" t="str">
        <f t="shared" ref="D59:D60" si="19">"Continued expansion"</f>
        <v>Continued expansion</v>
      </c>
    </row>
    <row r="60">
      <c r="A60" s="1" t="str">
        <f t="shared" si="14"/>
        <v>Operational Improvements</v>
      </c>
      <c r="B60" s="1" t="str">
        <f>"Private Label Penetration - Year 3"</f>
        <v>Private Label Penetration - Year 3</v>
      </c>
      <c r="C60" s="1" t="str">
        <f>"29%"</f>
        <v>29%</v>
      </c>
      <c r="D60" s="1" t="str">
        <f t="shared" si="19"/>
        <v>Continued expansion</v>
      </c>
    </row>
    <row r="61">
      <c r="A61" s="1" t="str">
        <f t="shared" si="14"/>
        <v>Operational Improvements</v>
      </c>
      <c r="B61" s="1" t="str">
        <f>"Private Label Penetration - Year 4"</f>
        <v>Private Label Penetration - Year 4</v>
      </c>
      <c r="C61" s="1" t="str">
        <f t="shared" ref="C61:C62" si="20">"30%"</f>
        <v>30%</v>
      </c>
      <c r="D61" s="1" t="str">
        <f t="shared" ref="D61:D62" si="21">"Stabilizing penetration"</f>
        <v>Stabilizing penetration</v>
      </c>
    </row>
    <row r="62">
      <c r="A62" s="1" t="str">
        <f t="shared" si="14"/>
        <v>Operational Improvements</v>
      </c>
      <c r="B62" s="1" t="str">
        <f>"Private Label Penetration - Year 5"</f>
        <v>Private Label Penetration - Year 5</v>
      </c>
      <c r="C62" s="1" t="str">
        <f t="shared" si="20"/>
        <v>30%</v>
      </c>
      <c r="D62" s="1" t="str">
        <f t="shared" si="21"/>
        <v>Stabilizing penetration</v>
      </c>
    </row>
    <row r="63">
      <c r="A63" s="1" t="str">
        <f t="shared" si="14"/>
        <v>Operational Improvements</v>
      </c>
      <c r="B63" s="1" t="str">
        <f>"Private Label Margin Lift"</f>
        <v>Private Label Margin Lift</v>
      </c>
      <c r="C63" s="1" t="str">
        <f>"8.0%"</f>
        <v>8.0%</v>
      </c>
      <c r="D63" s="1" t="str">
        <f>"Gross margin improvement vs. branded"</f>
        <v>Gross margin improvement vs. branded</v>
      </c>
    </row>
    <row r="64">
      <c r="A64" s="1" t="str">
        <f t="shared" si="14"/>
        <v>Operational Improvements</v>
      </c>
      <c r="B64" s="1" t="str">
        <f>"COGS Improvement - Year 1"</f>
        <v>COGS Improvement - Year 1</v>
      </c>
      <c r="C64" s="1" t="str">
        <f t="shared" ref="C64:C65" si="22">"0.3%"</f>
        <v>0.3%</v>
      </c>
      <c r="D64" s="1" t="str">
        <f t="shared" ref="D64:D68" si="23">"Supply chain optimization"</f>
        <v>Supply chain optimization</v>
      </c>
    </row>
    <row r="65">
      <c r="A65" s="1" t="str">
        <f t="shared" si="14"/>
        <v>Operational Improvements</v>
      </c>
      <c r="B65" s="1" t="str">
        <f>"COGS Improvement - Year 2"</f>
        <v>COGS Improvement - Year 2</v>
      </c>
      <c r="C65" s="1" t="str">
        <f t="shared" si="22"/>
        <v>0.3%</v>
      </c>
      <c r="D65" s="1" t="str">
        <f t="shared" si="23"/>
        <v>Supply chain optimization</v>
      </c>
    </row>
    <row r="66">
      <c r="A66" s="1" t="str">
        <f t="shared" si="14"/>
        <v>Operational Improvements</v>
      </c>
      <c r="B66" s="1" t="str">
        <f>"COGS Improvement - Year 3"</f>
        <v>COGS Improvement - Year 3</v>
      </c>
      <c r="C66" s="1" t="str">
        <f>"0.2%"</f>
        <v>0.2%</v>
      </c>
      <c r="D66" s="1" t="str">
        <f t="shared" si="23"/>
        <v>Supply chain optimization</v>
      </c>
    </row>
    <row r="67">
      <c r="A67" s="1" t="str">
        <f t="shared" si="14"/>
        <v>Operational Improvements</v>
      </c>
      <c r="B67" s="1" t="str">
        <f>"COGS Improvement - Year 4"</f>
        <v>COGS Improvement - Year 4</v>
      </c>
      <c r="C67" s="1" t="str">
        <f t="shared" ref="C67:C68" si="24">"0.1%"</f>
        <v>0.1%</v>
      </c>
      <c r="D67" s="1" t="str">
        <f t="shared" si="23"/>
        <v>Supply chain optimization</v>
      </c>
    </row>
    <row r="68">
      <c r="A68" s="1" t="str">
        <f t="shared" si="14"/>
        <v>Operational Improvements</v>
      </c>
      <c r="B68" s="1" t="str">
        <f>"COGS Improvement - Year 5"</f>
        <v>COGS Improvement - Year 5</v>
      </c>
      <c r="C68" s="1" t="str">
        <f t="shared" si="24"/>
        <v>0.1%</v>
      </c>
      <c r="D68" s="1" t="str">
        <f t="shared" si="23"/>
        <v>Supply chain optimization</v>
      </c>
    </row>
    <row r="69">
      <c r="A69" s="1" t="str">
        <f t="shared" si="14"/>
        <v>Operational Improvements</v>
      </c>
      <c r="B69" s="1" t="str">
        <f>"SG&amp;A Improvement - Year 1"</f>
        <v>SG&amp;A Improvement - Year 1</v>
      </c>
      <c r="C69" s="1" t="str">
        <f t="shared" ref="C69:C71" si="25">"0.2%"</f>
        <v>0.2%</v>
      </c>
      <c r="D69" s="1" t="str">
        <f t="shared" ref="D69:D73" si="26">"Scale benefits"</f>
        <v>Scale benefits</v>
      </c>
    </row>
    <row r="70">
      <c r="A70" s="1" t="str">
        <f t="shared" si="14"/>
        <v>Operational Improvements</v>
      </c>
      <c r="B70" s="1" t="str">
        <f>"SG&amp;A Improvement - Year 2"</f>
        <v>SG&amp;A Improvement - Year 2</v>
      </c>
      <c r="C70" s="1" t="str">
        <f t="shared" si="25"/>
        <v>0.2%</v>
      </c>
      <c r="D70" s="1" t="str">
        <f t="shared" si="26"/>
        <v>Scale benefits</v>
      </c>
    </row>
    <row r="71">
      <c r="A71" s="1" t="str">
        <f t="shared" si="14"/>
        <v>Operational Improvements</v>
      </c>
      <c r="B71" s="1" t="str">
        <f>"SG&amp;A Improvement - Year 3"</f>
        <v>SG&amp;A Improvement - Year 3</v>
      </c>
      <c r="C71" s="1" t="str">
        <f t="shared" si="25"/>
        <v>0.2%</v>
      </c>
      <c r="D71" s="1" t="str">
        <f t="shared" si="26"/>
        <v>Scale benefits</v>
      </c>
    </row>
    <row r="72">
      <c r="A72" s="1" t="str">
        <f t="shared" si="14"/>
        <v>Operational Improvements</v>
      </c>
      <c r="B72" s="1" t="str">
        <f>"SG&amp;A Improvement - Year 4"</f>
        <v>SG&amp;A Improvement - Year 4</v>
      </c>
      <c r="C72" s="1" t="str">
        <f t="shared" ref="C72:C73" si="27">"0.1%"</f>
        <v>0.1%</v>
      </c>
      <c r="D72" s="1" t="str">
        <f t="shared" si="26"/>
        <v>Scale benefits</v>
      </c>
    </row>
    <row r="73">
      <c r="A73" s="1" t="str">
        <f t="shared" si="14"/>
        <v>Operational Improvements</v>
      </c>
      <c r="B73" s="1" t="str">
        <f>"SG&amp;A Improvement - Year 5"</f>
        <v>SG&amp;A Improvement - Year 5</v>
      </c>
      <c r="C73" s="1" t="str">
        <f t="shared" si="27"/>
        <v>0.1%</v>
      </c>
      <c r="D73" s="1" t="str">
        <f t="shared" si="26"/>
        <v>Scale benefits</v>
      </c>
    </row>
    <row r="74">
      <c r="A74" s="1" t="str">
        <f t="shared" ref="A74:A83" si="28">"Synergies"</f>
        <v>Synergies</v>
      </c>
      <c r="B74" s="1" t="str">
        <f>"Cost Synergies - Year 1"</f>
        <v>Cost Synergies - Year 1</v>
      </c>
      <c r="C74" s="1" t="str">
        <f>"$0.5M"</f>
        <v>$0.5M</v>
      </c>
      <c r="D74" s="1" t="str">
        <f>"Technology platform integration"</f>
        <v>Technology platform integration</v>
      </c>
    </row>
    <row r="75">
      <c r="A75" s="1" t="str">
        <f t="shared" si="28"/>
        <v>Synergies</v>
      </c>
      <c r="B75" s="1" t="str">
        <f>"Cost Synergies - Year 2"</f>
        <v>Cost Synergies - Year 2</v>
      </c>
      <c r="C75" s="1" t="str">
        <f>"$0.8M"</f>
        <v>$0.8M</v>
      </c>
      <c r="D75" s="1" t="str">
        <f>"Purchasing power leverage"</f>
        <v>Purchasing power leverage</v>
      </c>
    </row>
    <row r="76">
      <c r="A76" s="1" t="str">
        <f t="shared" si="28"/>
        <v>Synergies</v>
      </c>
      <c r="B76" s="1" t="str">
        <f>"Cost Synergies - Year 3"</f>
        <v>Cost Synergies - Year 3</v>
      </c>
      <c r="C76" s="1" t="str">
        <f>"$1.0M"</f>
        <v>$1.0M</v>
      </c>
      <c r="D76" s="1" t="str">
        <f>"Back office integration"</f>
        <v>Back office integration</v>
      </c>
    </row>
    <row r="77">
      <c r="A77" s="1" t="str">
        <f t="shared" si="28"/>
        <v>Synergies</v>
      </c>
      <c r="B77" s="1" t="str">
        <f>"Cost Synergies - Year 4"</f>
        <v>Cost Synergies - Year 4</v>
      </c>
      <c r="C77" s="1" t="str">
        <f t="shared" ref="C77:C78" si="29">"$1.2M"</f>
        <v>$1.2M</v>
      </c>
      <c r="D77" s="1" t="str">
        <f t="shared" ref="D77:D78" si="30">"Full implementation"</f>
        <v>Full implementation</v>
      </c>
    </row>
    <row r="78">
      <c r="A78" s="1" t="str">
        <f t="shared" si="28"/>
        <v>Synergies</v>
      </c>
      <c r="B78" s="1" t="str">
        <f>"Cost Synergies - Year 5"</f>
        <v>Cost Synergies - Year 5</v>
      </c>
      <c r="C78" s="1" t="str">
        <f t="shared" si="29"/>
        <v>$1.2M</v>
      </c>
      <c r="D78" s="1" t="str">
        <f t="shared" si="30"/>
        <v>Full implementation</v>
      </c>
    </row>
    <row r="79">
      <c r="A79" s="1" t="str">
        <f t="shared" si="28"/>
        <v>Synergies</v>
      </c>
      <c r="B79" s="1" t="str">
        <f>"Revenue Synergies - Year 1"</f>
        <v>Revenue Synergies - Year 1</v>
      </c>
      <c r="C79" s="1" t="str">
        <f t="shared" ref="C79:C83" si="31">"$0.0M"</f>
        <v>$0.0M</v>
      </c>
      <c r="D79" s="1" t="str">
        <f t="shared" ref="D79:D83" si="32">"None assumed in base case"</f>
        <v>None assumed in base case</v>
      </c>
    </row>
    <row r="80">
      <c r="A80" s="1" t="str">
        <f t="shared" si="28"/>
        <v>Synergies</v>
      </c>
      <c r="B80" s="1" t="str">
        <f>"Revenue Synergies - Year 2"</f>
        <v>Revenue Synergies - Year 2</v>
      </c>
      <c r="C80" s="1" t="str">
        <f t="shared" si="31"/>
        <v>$0.0M</v>
      </c>
      <c r="D80" s="1" t="str">
        <f t="shared" si="32"/>
        <v>None assumed in base case</v>
      </c>
    </row>
    <row r="81">
      <c r="A81" s="1" t="str">
        <f t="shared" si="28"/>
        <v>Synergies</v>
      </c>
      <c r="B81" s="1" t="str">
        <f>"Revenue Synergies - Year 3"</f>
        <v>Revenue Synergies - Year 3</v>
      </c>
      <c r="C81" s="1" t="str">
        <f t="shared" si="31"/>
        <v>$0.0M</v>
      </c>
      <c r="D81" s="1" t="str">
        <f t="shared" si="32"/>
        <v>None assumed in base case</v>
      </c>
    </row>
    <row r="82">
      <c r="A82" s="1" t="str">
        <f t="shared" si="28"/>
        <v>Synergies</v>
      </c>
      <c r="B82" s="1" t="str">
        <f>"Revenue Synergies - Year 4"</f>
        <v>Revenue Synergies - Year 4</v>
      </c>
      <c r="C82" s="1" t="str">
        <f t="shared" si="31"/>
        <v>$0.0M</v>
      </c>
      <c r="D82" s="1" t="str">
        <f t="shared" si="32"/>
        <v>None assumed in base case</v>
      </c>
    </row>
    <row r="83">
      <c r="A83" s="1" t="str">
        <f t="shared" si="28"/>
        <v>Synergies</v>
      </c>
      <c r="B83" s="1" t="str">
        <f>"Revenue Synergies - Year 5"</f>
        <v>Revenue Synergies - Year 5</v>
      </c>
      <c r="C83" s="1" t="str">
        <f t="shared" si="31"/>
        <v>$0.0M</v>
      </c>
      <c r="D83" s="1" t="str">
        <f t="shared" si="32"/>
        <v>None assumed in base case</v>
      </c>
    </row>
    <row r="84">
      <c r="A84" s="1" t="str">
        <f t="shared" ref="A84:A89" si="33">"Sensitivities"</f>
        <v>Sensitivities</v>
      </c>
      <c r="B84" s="1" t="str">
        <f>"Revenue Growth - Downside"</f>
        <v>Revenue Growth - Downside</v>
      </c>
      <c r="C84" s="1" t="str">
        <f t="shared" ref="C84:C85" si="34">"2.0%"</f>
        <v>2.0%</v>
      </c>
      <c r="D84" s="1" t="str">
        <f>"Below base case"</f>
        <v>Below base case</v>
      </c>
    </row>
    <row r="85">
      <c r="A85" s="1" t="str">
        <f t="shared" si="33"/>
        <v>Sensitivities</v>
      </c>
      <c r="B85" s="1" t="str">
        <f>"Revenue Growth - Upside"</f>
        <v>Revenue Growth - Upside</v>
      </c>
      <c r="C85" s="1" t="str">
        <f t="shared" si="34"/>
        <v>2.0%</v>
      </c>
      <c r="D85" s="1" t="str">
        <f>"Above base case"</f>
        <v>Above base case</v>
      </c>
    </row>
    <row r="86">
      <c r="A86" s="1" t="str">
        <f t="shared" si="33"/>
        <v>Sensitivities</v>
      </c>
      <c r="B86" s="1" t="str">
        <f>"EBITDA Margin - Downside"</f>
        <v>EBITDA Margin - Downside</v>
      </c>
      <c r="C86" s="1" t="str">
        <f t="shared" ref="C86:C87" si="35">"1.0%"</f>
        <v>1.0%</v>
      </c>
      <c r="D86" s="1" t="str">
        <f>"Below base case"</f>
        <v>Below base case</v>
      </c>
    </row>
    <row r="87">
      <c r="A87" s="1" t="str">
        <f t="shared" si="33"/>
        <v>Sensitivities</v>
      </c>
      <c r="B87" s="1" t="str">
        <f>"EBITDA Margin - Upside"</f>
        <v>EBITDA Margin - Upside</v>
      </c>
      <c r="C87" s="1" t="str">
        <f t="shared" si="35"/>
        <v>1.0%</v>
      </c>
      <c r="D87" s="1" t="str">
        <f>"Above base case"</f>
        <v>Above base case</v>
      </c>
    </row>
    <row r="88">
      <c r="A88" s="1" t="str">
        <f t="shared" si="33"/>
        <v>Sensitivities</v>
      </c>
      <c r="B88" s="1" t="str">
        <f>"Exit Multiple - Downside"</f>
        <v>Exit Multiple - Downside</v>
      </c>
      <c r="C88" s="1" t="str">
        <f>"0.5x"</f>
        <v>0.5x</v>
      </c>
      <c r="D88" s="1" t="str">
        <f>"Below base case"</f>
        <v>Below base case</v>
      </c>
    </row>
    <row r="89">
      <c r="A89" s="1" t="str">
        <f t="shared" si="33"/>
        <v>Sensitivities</v>
      </c>
      <c r="B89" s="1" t="str">
        <f>"Exit Multiple - Upside"</f>
        <v>Exit Multiple - Upside</v>
      </c>
      <c r="C89" s="1" t="str">
        <f>"0.8x"</f>
        <v>0.8x</v>
      </c>
      <c r="D89" s="1" t="str">
        <f>"Above base case"</f>
        <v>Above base case</v>
      </c>
    </row>
  </sheetData>
  <drawing r:id="rId1"/>
</worksheet>
</file>